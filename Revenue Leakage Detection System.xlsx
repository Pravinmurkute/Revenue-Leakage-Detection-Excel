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slicers/slicer2.xml" ContentType="application/vnd.ms-excel.slicer+xml"/>
  <Override PartName="/xl/timelines/timeline2.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ExcleR\ExcelR  Projects\"/>
    </mc:Choice>
  </mc:AlternateContent>
  <xr:revisionPtr revIDLastSave="0" documentId="13_ncr:1_{839C48D8-DC05-4E0B-A951-5A96334F86FC}" xr6:coauthVersionLast="47" xr6:coauthVersionMax="47" xr10:uidLastSave="{00000000-0000-0000-0000-000000000000}"/>
  <bookViews>
    <workbookView xWindow="-108" yWindow="-108" windowWidth="23256" windowHeight="12456" firstSheet="5" activeTab="10" xr2:uid="{00000000-000D-0000-FFFF-FFFF00000000}"/>
  </bookViews>
  <sheets>
    <sheet name="Dashboard" sheetId="9" r:id="rId1"/>
    <sheet name="Main Data" sheetId="1" r:id="rId2"/>
    <sheet name="Top 10 Products Causing Leakage" sheetId="16" r:id="rId3"/>
    <sheet name="Sheet8" sheetId="19" r:id="rId4"/>
    <sheet name="Sheet9" sheetId="20" r:id="rId5"/>
    <sheet name="Sheet1" sheetId="12" r:id="rId6"/>
    <sheet name="Leakage by Category" sheetId="14" r:id="rId7"/>
    <sheet name="Monthly Leakage Trend" sheetId="15" r:id="rId8"/>
    <sheet name="KPI_Pivots" sheetId="3" r:id="rId9"/>
    <sheet name="KPI_Cards" sheetId="8" r:id="rId10"/>
    <sheet name="INTERACTIVITY" sheetId="17" r:id="rId11"/>
  </sheets>
  <definedNames>
    <definedName name="NativeTimeline_Order_Date">#N/A</definedName>
    <definedName name="_xlnm.Print_Area" localSheetId="0">Dashboard!$A$1:$AA$48</definedName>
    <definedName name="Slicer_Category">#N/A</definedName>
    <definedName name="Slicer_Region">#N/A</definedName>
    <definedName name="Slicer_Salespers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8" l="1"/>
  <c r="D13" i="8"/>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2" i="1"/>
  <c r="A22" i="3"/>
  <c r="B8" i="8" l="1"/>
</calcChain>
</file>

<file path=xl/sharedStrings.xml><?xml version="1.0" encoding="utf-8"?>
<sst xmlns="http://schemas.openxmlformats.org/spreadsheetml/2006/main" count="10931" uniqueCount="1295">
  <si>
    <t>Order_ID</t>
  </si>
  <si>
    <t>Order_Date</t>
  </si>
  <si>
    <t>Region</t>
  </si>
  <si>
    <t>Salesperson</t>
  </si>
  <si>
    <t>Product_Name</t>
  </si>
  <si>
    <t>Category</t>
  </si>
  <si>
    <t>Sub_Category</t>
  </si>
  <si>
    <t>Standard_Price</t>
  </si>
  <si>
    <t>Quantity</t>
  </si>
  <si>
    <t>Allowed_Discount_Percent</t>
  </si>
  <si>
    <t>Applied_Discount_Percent</t>
  </si>
  <si>
    <t>Expected_Revenue</t>
  </si>
  <si>
    <t>Actual_Billed_Amount</t>
  </si>
  <si>
    <t>Revenue_Difference</t>
  </si>
  <si>
    <t>Discount_Violation</t>
  </si>
  <si>
    <t>Leakage_Flag</t>
  </si>
  <si>
    <t>Leakage_Reason</t>
  </si>
  <si>
    <t>ORD00001</t>
  </si>
  <si>
    <t>East</t>
  </si>
  <si>
    <t>Rahul</t>
  </si>
  <si>
    <t>External Hard Drive 1TB</t>
  </si>
  <si>
    <t>Electronics</t>
  </si>
  <si>
    <t>Storage</t>
  </si>
  <si>
    <t>NO</t>
  </si>
  <si>
    <t>OK</t>
  </si>
  <si>
    <t>No Issue</t>
  </si>
  <si>
    <t>ORD00002</t>
  </si>
  <si>
    <t>Amit</t>
  </si>
  <si>
    <t>Laptop Backpack (Water Resistant)</t>
  </si>
  <si>
    <t>Accessories</t>
  </si>
  <si>
    <t>Laptop Accessories</t>
  </si>
  <si>
    <t>LEAKAGE</t>
  </si>
  <si>
    <t>Billing Error</t>
  </si>
  <si>
    <t>ORD00003</t>
  </si>
  <si>
    <t>West</t>
  </si>
  <si>
    <t>Suresh</t>
  </si>
  <si>
    <t>Wireless Optical Mouse</t>
  </si>
  <si>
    <t>Computer Accessories</t>
  </si>
  <si>
    <t>YES</t>
  </si>
  <si>
    <t>Excess Discount</t>
  </si>
  <si>
    <t>ORD00004</t>
  </si>
  <si>
    <t>Priya</t>
  </si>
  <si>
    <t>Mobile Phone Screen Protector</t>
  </si>
  <si>
    <t>Mobile Accessories</t>
  </si>
  <si>
    <t>ORD00005</t>
  </si>
  <si>
    <t>Vacuum Cleaner</t>
  </si>
  <si>
    <t>Home Appliances</t>
  </si>
  <si>
    <t>Cleaning Appliances</t>
  </si>
  <si>
    <t>ORD00006</t>
  </si>
  <si>
    <t>South</t>
  </si>
  <si>
    <t>Smart Wi-Fi Router</t>
  </si>
  <si>
    <t>Networking</t>
  </si>
  <si>
    <t>ORD00007</t>
  </si>
  <si>
    <t>North</t>
  </si>
  <si>
    <t>Induction Cooktop</t>
  </si>
  <si>
    <t>Kitchen Appliances</t>
  </si>
  <si>
    <t>ORD00008</t>
  </si>
  <si>
    <t>Air Purifier for Home</t>
  </si>
  <si>
    <t>Air Treatment</t>
  </si>
  <si>
    <t>ORD00009</t>
  </si>
  <si>
    <t>ORD00010</t>
  </si>
  <si>
    <t>Portable Power Bank 20000 mAh</t>
  </si>
  <si>
    <t>ORD00011</t>
  </si>
  <si>
    <t>DSLR Camera Tripod</t>
  </si>
  <si>
    <t>Photography</t>
  </si>
  <si>
    <t>Camera Accessories</t>
  </si>
  <si>
    <t>ORD00012</t>
  </si>
  <si>
    <t>Smartphone Car Mount</t>
  </si>
  <si>
    <t>Car Accessories</t>
  </si>
  <si>
    <t>ORD00013</t>
  </si>
  <si>
    <t>Anita</t>
  </si>
  <si>
    <t>Smart LED TV 55-inch</t>
  </si>
  <si>
    <t>Television</t>
  </si>
  <si>
    <t>ORD00014</t>
  </si>
  <si>
    <t>ORD00015</t>
  </si>
  <si>
    <t>Home Security CCTV Camera</t>
  </si>
  <si>
    <t>Home Security</t>
  </si>
  <si>
    <t>Surveillance</t>
  </si>
  <si>
    <t>ORD00016</t>
  </si>
  <si>
    <t>ORD00017</t>
  </si>
  <si>
    <t>ORD00018</t>
  </si>
  <si>
    <t>Noise Cancelling Earbuds</t>
  </si>
  <si>
    <t>Audio</t>
  </si>
  <si>
    <t>ORD00019</t>
  </si>
  <si>
    <t>ORD00020</t>
  </si>
  <si>
    <t>ORD00021</t>
  </si>
  <si>
    <t>ORD00022</t>
  </si>
  <si>
    <t>ORD00023</t>
  </si>
  <si>
    <t>ORD00024</t>
  </si>
  <si>
    <t>ORD00025</t>
  </si>
  <si>
    <t>Mechanical Gaming Keyboard</t>
  </si>
  <si>
    <t>ORD00026</t>
  </si>
  <si>
    <t>Neha</t>
  </si>
  <si>
    <t>ORD00027</t>
  </si>
  <si>
    <t>ORD00028</t>
  </si>
  <si>
    <t>ORD00029</t>
  </si>
  <si>
    <t>ORD00030</t>
  </si>
  <si>
    <t>ORD00031</t>
  </si>
  <si>
    <t>ORD00032</t>
  </si>
  <si>
    <t>ORD00033</t>
  </si>
  <si>
    <t>Electric Kettle 1.5L</t>
  </si>
  <si>
    <t>ORD00034</t>
  </si>
  <si>
    <t>USB-C Fast Charging Adapter</t>
  </si>
  <si>
    <t>ORD00035</t>
  </si>
  <si>
    <t>Laptop Cooling Pad</t>
  </si>
  <si>
    <t>ORD00036</t>
  </si>
  <si>
    <t>ORD00037</t>
  </si>
  <si>
    <t>Ergonomic Office Chair</t>
  </si>
  <si>
    <t>Furniture</t>
  </si>
  <si>
    <t>Office Furniture</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</si>
  <si>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</si>
  <si>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</si>
  <si>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</si>
  <si>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</si>
  <si>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</si>
  <si>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</si>
  <si>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</si>
  <si>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</si>
  <si>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</si>
  <si>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</si>
  <si>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</si>
  <si>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</si>
  <si>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</si>
  <si>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</si>
  <si>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</si>
  <si>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</si>
  <si>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</si>
  <si>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</si>
  <si>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</si>
  <si>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Wireless Bluetooth Headphones</t>
  </si>
  <si>
    <t>ORD00057</t>
  </si>
  <si>
    <t>ORD00058</t>
  </si>
  <si>
    <t>ORD00059</t>
  </si>
  <si>
    <t>ORD00060</t>
  </si>
  <si>
    <t>ORD00061</t>
  </si>
  <si>
    <t>ORD00062</t>
  </si>
  <si>
    <t>ORD00063</t>
  </si>
  <si>
    <t>ORD00064</t>
  </si>
  <si>
    <t>ORD00065</t>
  </si>
  <si>
    <t>ORD00066</t>
  </si>
  <si>
    <t>Smartwatch</t>
  </si>
  <si>
    <t>Wearables</t>
  </si>
  <si>
    <t>Fitness</t>
  </si>
  <si>
    <t>ORD00067</t>
  </si>
  <si>
    <t>ORD00068</t>
  </si>
  <si>
    <t>ORD00069</t>
  </si>
  <si>
    <t>ORD00070</t>
  </si>
  <si>
    <t>ORD00071</t>
  </si>
  <si>
    <t>ORD00072</t>
  </si>
  <si>
    <t>ORD00073</t>
  </si>
  <si>
    <t>ORD00074</t>
  </si>
  <si>
    <t>Smart Fitness Band</t>
  </si>
  <si>
    <t>ORD00075</t>
  </si>
  <si>
    <t>ORD00076</t>
  </si>
  <si>
    <t>ORD00077</t>
  </si>
  <si>
    <t>Smart LED TV 43-inch</t>
  </si>
  <si>
    <t>ORD00078</t>
  </si>
  <si>
    <t>ORD00079</t>
  </si>
  <si>
    <t>ORD00080</t>
  </si>
  <si>
    <t>ORD00081</t>
  </si>
  <si>
    <t>ORD00082</t>
  </si>
  <si>
    <t>ORD00083</t>
  </si>
  <si>
    <t>ORD00084</t>
  </si>
  <si>
    <t>ORD00085</t>
  </si>
  <si>
    <t>ORD00086</t>
  </si>
  <si>
    <t>ORD00087</t>
  </si>
  <si>
    <t>ORD00088</t>
  </si>
  <si>
    <t>Wireless Speaker</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</si>
  <si>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</si>
  <si>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</si>
  <si>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</si>
  <si>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</si>
  <si>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</si>
  <si>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</si>
  <si>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</si>
  <si>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</si>
  <si>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</si>
  <si>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</si>
  <si>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</si>
  <si>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</si>
  <si>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</si>
  <si>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</si>
  <si>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</si>
  <si>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</si>
  <si>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</si>
  <si>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</si>
  <si>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</si>
  <si>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</si>
  <si>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</si>
  <si>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</si>
  <si>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</si>
  <si>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</si>
  <si>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</si>
  <si>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</si>
  <si>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</si>
  <si>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</si>
  <si>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</si>
  <si>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</si>
  <si>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</si>
  <si>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</si>
  <si>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</si>
  <si>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</si>
  <si>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</si>
  <si>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</si>
  <si>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</si>
  <si>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</si>
  <si>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</si>
  <si>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</si>
  <si>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</si>
  <si>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</si>
  <si>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</si>
  <si>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</si>
  <si>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</si>
  <si>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</si>
  <si>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</si>
  <si>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</si>
  <si>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</si>
  <si>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</si>
  <si>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</si>
  <si>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</si>
  <si>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</si>
  <si>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</si>
  <si>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</si>
  <si>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</si>
  <si>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</si>
  <si>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</si>
  <si>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</si>
  <si>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</si>
  <si>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</si>
  <si>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</si>
  <si>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</si>
  <si>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</si>
  <si>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</si>
  <si>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</si>
  <si>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</si>
  <si>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</si>
  <si>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</si>
  <si>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</si>
  <si>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</si>
  <si>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</si>
  <si>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</si>
  <si>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</si>
  <si>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</si>
  <si>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</si>
  <si>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</si>
  <si>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</si>
  <si>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</si>
  <si>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</si>
  <si>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</si>
  <si>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</si>
  <si>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</si>
  <si>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</si>
  <si>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</si>
  <si>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</si>
  <si>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</si>
  <si>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</si>
  <si>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</si>
  <si>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</si>
  <si>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</si>
  <si>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</si>
  <si>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</si>
  <si>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</si>
  <si>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</si>
  <si>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</si>
  <si>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</si>
  <si>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</si>
  <si>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</si>
  <si>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</si>
  <si>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</si>
  <si>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</si>
  <si>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</si>
  <si>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</si>
  <si>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</si>
  <si>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</si>
  <si>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</si>
  <si>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</si>
  <si>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</si>
  <si>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</si>
  <si>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</si>
  <si>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</si>
  <si>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</si>
  <si>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</si>
  <si>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</si>
  <si>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</si>
  <si>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</si>
  <si>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</si>
  <si>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</si>
  <si>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</si>
  <si>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</si>
  <si>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</si>
  <si>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</si>
  <si>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</si>
  <si>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</si>
  <si>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</si>
  <si>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</si>
  <si>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</si>
  <si>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</si>
  <si>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</si>
  <si>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</si>
  <si>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</si>
  <si>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</si>
  <si>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</si>
  <si>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</si>
  <si>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</si>
  <si>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</si>
  <si>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</si>
  <si>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</si>
  <si>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</si>
  <si>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</si>
  <si>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</si>
  <si>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</si>
  <si>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</si>
  <si>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</si>
  <si>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</si>
  <si>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</si>
  <si>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</si>
  <si>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</si>
  <si>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</si>
  <si>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</si>
  <si>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</si>
  <si>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</si>
  <si>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</si>
  <si>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</si>
  <si>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</si>
  <si>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</si>
  <si>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</si>
  <si>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</si>
  <si>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</si>
  <si>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</si>
  <si>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</si>
  <si>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</si>
  <si>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</si>
  <si>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</si>
  <si>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</si>
  <si>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</si>
  <si>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</si>
  <si>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</si>
  <si>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</si>
  <si>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</si>
  <si>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</si>
  <si>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</si>
  <si>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</si>
  <si>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</si>
  <si>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</si>
  <si>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</si>
  <si>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</si>
  <si>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</si>
  <si>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</si>
  <si>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</si>
  <si>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</si>
  <si>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</si>
  <si>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</si>
  <si>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</si>
  <si>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</si>
  <si>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</si>
  <si>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</si>
  <si>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</si>
  <si>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</si>
  <si>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</si>
  <si>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</si>
  <si>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</si>
  <si>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</si>
  <si>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</si>
  <si>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</si>
  <si>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</si>
  <si>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</si>
  <si>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</si>
  <si>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</si>
  <si>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</si>
  <si>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</si>
  <si>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</si>
  <si>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</si>
  <si>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</si>
  <si>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</si>
  <si>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</si>
  <si>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</si>
  <si>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</si>
  <si>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</si>
  <si>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</si>
  <si>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</si>
  <si>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</si>
  <si>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</si>
  <si>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</si>
  <si>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</si>
  <si>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</si>
  <si>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</si>
  <si>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</si>
  <si>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</si>
  <si>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</si>
  <si>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</si>
  <si>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</si>
  <si>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</si>
  <si>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</si>
  <si>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</si>
  <si>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</si>
  <si>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</si>
  <si>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</si>
  <si>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</si>
  <si>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</si>
  <si>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</si>
  <si>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</si>
  <si>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</si>
  <si>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</si>
  <si>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</si>
  <si>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</si>
  <si>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</si>
  <si>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</si>
  <si>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</si>
  <si>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</si>
  <si>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</si>
  <si>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</si>
  <si>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</si>
  <si>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</si>
  <si>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</si>
  <si>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</si>
  <si>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</si>
  <si>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</si>
  <si>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</si>
  <si>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</si>
  <si>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</si>
  <si>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</si>
  <si>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</si>
  <si>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</si>
  <si>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</si>
  <si>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</si>
  <si>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</si>
  <si>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</si>
  <si>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</si>
  <si>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</si>
  <si>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</si>
  <si>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</si>
  <si>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</si>
  <si>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</si>
  <si>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</si>
  <si>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</si>
  <si>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</si>
  <si>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</si>
  <si>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</si>
  <si>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</si>
  <si>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</si>
  <si>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</si>
  <si>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</si>
  <si>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</si>
  <si>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</si>
  <si>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</si>
  <si>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</si>
  <si>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</si>
  <si>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</si>
  <si>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</si>
  <si>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</si>
  <si>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</si>
  <si>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</si>
  <si>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</si>
  <si>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</si>
  <si>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</si>
  <si>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</si>
  <si>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</si>
  <si>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</si>
  <si>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</si>
  <si>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</si>
  <si>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</si>
  <si>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</si>
  <si>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</si>
  <si>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</si>
  <si>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</si>
  <si>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</si>
  <si>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</si>
  <si>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</si>
  <si>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</si>
  <si>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</si>
  <si>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</si>
  <si>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</si>
  <si>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</si>
  <si>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</si>
  <si>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</si>
  <si>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</si>
  <si>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</si>
  <si>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</si>
  <si>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</si>
  <si>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</si>
  <si>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</si>
  <si>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</si>
  <si>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</si>
  <si>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</si>
  <si>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</si>
  <si>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</si>
  <si>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</si>
  <si>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</si>
  <si>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</si>
  <si>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</si>
  <si>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</si>
  <si>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</si>
  <si>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</si>
  <si>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</si>
  <si>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</si>
  <si>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</si>
  <si>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</si>
  <si>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</si>
  <si>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</si>
  <si>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</si>
  <si>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</si>
  <si>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</si>
  <si>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</si>
  <si>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</si>
  <si>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</si>
  <si>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</si>
  <si>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</si>
  <si>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</si>
  <si>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</si>
  <si>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</si>
  <si>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</si>
  <si>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</si>
  <si>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</si>
  <si>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</si>
  <si>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</si>
  <si>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</si>
  <si>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</si>
  <si>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</si>
  <si>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</si>
  <si>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</si>
  <si>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</si>
  <si>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</si>
  <si>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</si>
  <si>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</si>
  <si>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</si>
  <si>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</si>
  <si>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</si>
  <si>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</si>
  <si>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</si>
  <si>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</si>
  <si>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</si>
  <si>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</si>
  <si>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</si>
  <si>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</si>
  <si>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</si>
  <si>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</si>
  <si>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</si>
  <si>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</si>
  <si>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</si>
  <si>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</si>
  <si>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</si>
  <si>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</si>
  <si>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</si>
  <si>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</si>
  <si>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</si>
  <si>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</si>
  <si>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</si>
  <si>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</si>
  <si>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</si>
  <si>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</si>
  <si>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</si>
  <si>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</si>
  <si>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</si>
  <si>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</si>
  <si>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</si>
  <si>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</si>
  <si>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</si>
  <si>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</si>
  <si>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</si>
  <si>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</si>
  <si>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</si>
  <si>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</si>
  <si>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</si>
  <si>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</si>
  <si>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</si>
  <si>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</si>
  <si>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</si>
  <si>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</si>
  <si>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</si>
  <si>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</si>
  <si>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</si>
  <si>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</si>
  <si>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</si>
  <si>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</si>
  <si>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</si>
  <si>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</si>
  <si>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</si>
  <si>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</si>
  <si>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</si>
  <si>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</si>
  <si>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</si>
  <si>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</si>
  <si>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</si>
  <si>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</si>
  <si>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</si>
  <si>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</si>
  <si>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</si>
  <si>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</si>
  <si>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</si>
  <si>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</si>
  <si>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</si>
  <si>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</si>
  <si>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</si>
  <si>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</si>
  <si>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</si>
  <si>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</si>
  <si>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</si>
  <si>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</si>
  <si>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</si>
  <si>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</si>
  <si>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</si>
  <si>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</si>
  <si>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</si>
  <si>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</si>
  <si>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</si>
  <si>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</si>
  <si>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</si>
  <si>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</si>
  <si>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</si>
  <si>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</si>
  <si>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</si>
  <si>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</si>
  <si>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</si>
  <si>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</si>
  <si>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</si>
  <si>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</si>
  <si>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</si>
  <si>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</si>
  <si>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</si>
  <si>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</si>
  <si>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</si>
  <si>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</si>
  <si>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</si>
  <si>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</si>
  <si>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</si>
  <si>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</si>
  <si>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</si>
  <si>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</si>
  <si>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</si>
  <si>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</si>
  <si>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</si>
  <si>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</si>
  <si>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</si>
  <si>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</si>
  <si>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</si>
  <si>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</si>
  <si>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</si>
  <si>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</si>
  <si>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</si>
  <si>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</si>
  <si>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</si>
  <si>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</si>
  <si>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</si>
  <si>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</si>
  <si>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</si>
  <si>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</si>
  <si>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</si>
  <si>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</si>
  <si>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</si>
  <si>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</si>
  <si>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</si>
  <si>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</si>
  <si>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</si>
  <si>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</si>
  <si>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</si>
  <si>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</si>
  <si>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</si>
  <si>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</si>
  <si>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</si>
  <si>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</si>
  <si>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</si>
  <si>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</si>
  <si>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</si>
  <si>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</si>
  <si>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</si>
  <si>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</si>
  <si>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</si>
  <si>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</si>
  <si>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</si>
  <si>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</si>
  <si>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</si>
  <si>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</si>
  <si>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</si>
  <si>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</si>
  <si>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</si>
  <si>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</si>
  <si>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</si>
  <si>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</si>
  <si>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</si>
  <si>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</si>
  <si>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</si>
  <si>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</si>
  <si>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</si>
  <si>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</si>
  <si>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</si>
  <si>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</si>
  <si>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</si>
  <si>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</si>
  <si>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</si>
  <si>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</si>
  <si>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</si>
  <si>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</si>
  <si>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</si>
  <si>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</si>
  <si>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</si>
  <si>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</si>
  <si>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</si>
  <si>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</si>
  <si>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</si>
  <si>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</si>
  <si>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</si>
  <si>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</si>
  <si>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</si>
  <si>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</si>
  <si>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</si>
  <si>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</si>
  <si>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</si>
  <si>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</si>
  <si>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</si>
  <si>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</si>
  <si>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</si>
  <si>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</si>
  <si>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</si>
  <si>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</si>
  <si>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</si>
  <si>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</si>
  <si>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</si>
  <si>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</si>
  <si>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</si>
  <si>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</si>
  <si>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</si>
  <si>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</si>
  <si>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</si>
  <si>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</si>
  <si>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</si>
  <si>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</si>
  <si>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</si>
  <si>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</si>
  <si>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</si>
  <si>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</si>
  <si>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</si>
  <si>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</si>
  <si>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</si>
  <si>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</si>
  <si>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</si>
  <si>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</si>
  <si>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</si>
  <si>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</si>
  <si>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</si>
  <si>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</si>
  <si>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</si>
  <si>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</si>
  <si>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</si>
  <si>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</si>
  <si>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</si>
  <si>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</si>
  <si>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</si>
  <si>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</si>
  <si>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</si>
  <si>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</si>
  <si>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</si>
  <si>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</si>
  <si>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</si>
  <si>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</si>
  <si>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</si>
  <si>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</si>
  <si>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</si>
  <si>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</si>
  <si>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</si>
  <si>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</si>
  <si>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</si>
  <si>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</si>
  <si>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</si>
  <si>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</si>
  <si>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</si>
  <si>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</si>
  <si>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</si>
  <si>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</si>
  <si>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</si>
  <si>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</si>
  <si>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</si>
  <si>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</si>
  <si>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</si>
  <si>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</si>
  <si>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</si>
  <si>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</si>
  <si>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</si>
  <si>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</si>
  <si>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</si>
  <si>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</si>
  <si>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</si>
  <si>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</si>
  <si>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</si>
  <si>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</si>
  <si>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</si>
  <si>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</si>
  <si>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</si>
  <si>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</si>
  <si>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</si>
  <si>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</si>
  <si>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</si>
  <si>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</si>
  <si>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</si>
  <si>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</si>
  <si>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</si>
  <si>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</si>
  <si>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</si>
  <si>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</si>
  <si>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</si>
  <si>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</si>
  <si>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</si>
  <si>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</si>
  <si>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</si>
  <si>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</si>
  <si>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</si>
  <si>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</si>
  <si>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</si>
  <si>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</si>
  <si>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</si>
  <si>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</si>
  <si>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</si>
  <si>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</si>
  <si>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</si>
  <si>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</si>
  <si>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</si>
  <si>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</si>
  <si>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</si>
  <si>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</si>
  <si>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</si>
  <si>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</si>
  <si>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</si>
  <si>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</si>
  <si>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</si>
  <si>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</si>
  <si>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</si>
  <si>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</si>
  <si>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</si>
  <si>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</si>
  <si>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</si>
  <si>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</si>
  <si>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</si>
  <si>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</si>
  <si>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</si>
  <si>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</si>
  <si>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</si>
  <si>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</si>
  <si>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</si>
  <si>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</si>
  <si>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</si>
  <si>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</si>
  <si>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</si>
  <si>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</si>
  <si>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</si>
  <si>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</si>
  <si>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</si>
  <si>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</si>
  <si>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</si>
  <si>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</si>
  <si>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</si>
  <si>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</si>
  <si>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</si>
  <si>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</si>
  <si>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</si>
  <si>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</si>
  <si>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</si>
  <si>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</si>
  <si>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</si>
  <si>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</si>
  <si>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</si>
  <si>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</si>
  <si>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</si>
  <si>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</si>
  <si>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</si>
  <si>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</si>
  <si>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</si>
  <si>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</si>
  <si>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</si>
  <si>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</si>
  <si>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</si>
  <si>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</si>
  <si>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</si>
  <si>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</si>
  <si>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</si>
  <si>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</si>
  <si>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</si>
  <si>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</si>
  <si>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</si>
  <si>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</si>
  <si>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</si>
  <si>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</si>
  <si>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</si>
  <si>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</si>
  <si>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</si>
  <si>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</si>
  <si>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</si>
  <si>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</si>
  <si>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</si>
  <si>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</si>
  <si>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</si>
  <si>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</si>
  <si>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</si>
  <si>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</si>
  <si>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</si>
  <si>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</si>
  <si>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</si>
  <si>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</si>
  <si>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</si>
  <si>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</si>
  <si>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</si>
  <si>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</si>
  <si>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</si>
  <si>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</si>
  <si>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</si>
  <si>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</si>
  <si>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</si>
  <si>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</si>
  <si>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</si>
  <si>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</si>
  <si>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</si>
  <si>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</si>
  <si>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</si>
  <si>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</si>
  <si>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</si>
  <si>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</si>
  <si>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</si>
  <si>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</si>
  <si>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</si>
  <si>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</si>
  <si>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</si>
  <si>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</si>
  <si>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</si>
  <si>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</si>
  <si>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</si>
  <si>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</si>
  <si>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</si>
  <si>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</si>
  <si>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</si>
  <si>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</si>
  <si>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</si>
  <si>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</si>
  <si>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</si>
  <si>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</si>
  <si>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</si>
  <si>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</si>
  <si>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</si>
  <si>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</si>
  <si>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</si>
  <si>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</si>
  <si>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</si>
  <si>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</si>
  <si>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</si>
  <si>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</si>
  <si>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</si>
  <si>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</si>
  <si>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</si>
  <si>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</si>
  <si>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</si>
  <si>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</si>
  <si>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</si>
  <si>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</si>
  <si>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</si>
  <si>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</si>
  <si>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</si>
  <si>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</si>
  <si>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</si>
  <si>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</si>
  <si>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</si>
  <si>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</si>
  <si>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</si>
  <si>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</si>
  <si>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</si>
  <si>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</si>
  <si>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</si>
  <si>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</si>
  <si>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</si>
  <si>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</si>
  <si>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</si>
  <si>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</si>
  <si>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</si>
  <si>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</si>
  <si>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</si>
  <si>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</si>
  <si>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</si>
  <si>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</si>
  <si>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</si>
  <si>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</si>
  <si>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</si>
  <si>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</si>
  <si>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</si>
  <si>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</si>
  <si>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</si>
  <si>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</si>
  <si>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</si>
  <si>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</si>
  <si>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</si>
  <si>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</si>
  <si>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</si>
  <si>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</si>
  <si>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</si>
  <si>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</si>
  <si>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</si>
  <si>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</si>
  <si>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</si>
  <si>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</si>
  <si>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</si>
  <si>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</si>
  <si>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</si>
  <si>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</si>
  <si>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</si>
  <si>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</si>
  <si>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</si>
  <si>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</si>
  <si>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</si>
  <si>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</si>
  <si>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</si>
  <si>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</si>
  <si>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</si>
  <si>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</si>
  <si>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</si>
  <si>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</si>
  <si>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</si>
  <si>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</si>
  <si>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</si>
  <si>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</si>
  <si>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</si>
  <si>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</si>
  <si>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</si>
  <si>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</si>
  <si>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</si>
  <si>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</si>
  <si>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</si>
  <si>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</si>
  <si>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</si>
  <si>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</si>
  <si>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</si>
  <si>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</si>
  <si>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</si>
  <si>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</si>
  <si>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</si>
  <si>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</si>
  <si>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</si>
  <si>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</si>
  <si>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</si>
  <si>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</si>
  <si>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</si>
  <si>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</si>
  <si>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</si>
  <si>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</si>
  <si>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</si>
  <si>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</si>
  <si>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</si>
  <si>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</si>
  <si>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</si>
  <si>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</si>
  <si>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</si>
  <si>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</si>
  <si>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</si>
  <si>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</si>
  <si>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</si>
  <si>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</si>
  <si>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</si>
  <si>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</si>
  <si>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</si>
  <si>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</si>
  <si>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</si>
  <si>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</si>
  <si>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</si>
  <si>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</si>
  <si>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</si>
  <si>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</si>
  <si>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</si>
  <si>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</si>
  <si>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</si>
  <si>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</si>
  <si>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</si>
  <si>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</si>
  <si>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</si>
  <si>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</si>
  <si>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</si>
  <si>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</si>
  <si>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</si>
  <si>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</si>
  <si>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</si>
  <si>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</si>
  <si>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</si>
  <si>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</si>
  <si>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</si>
  <si>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</si>
  <si>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</si>
  <si>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</si>
  <si>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</si>
  <si>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</si>
  <si>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</si>
  <si>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</si>
  <si>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</si>
  <si>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</si>
  <si>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</si>
  <si>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</si>
  <si>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</si>
  <si>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</si>
  <si>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</si>
  <si>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</si>
  <si>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</si>
  <si>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</si>
  <si>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</si>
  <si>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</si>
  <si>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</si>
  <si>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</si>
  <si>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</si>
  <si>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</si>
  <si>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</si>
  <si>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</si>
  <si>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</si>
  <si>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</si>
  <si>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</si>
  <si>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</si>
  <si>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</si>
  <si>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</si>
  <si>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</si>
  <si>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</si>
  <si>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</si>
  <si>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</si>
  <si>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</si>
  <si>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</si>
  <si>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</si>
  <si>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</si>
  <si>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</si>
  <si>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</si>
  <si>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</si>
  <si>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</si>
  <si>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</si>
  <si>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</si>
  <si>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</si>
  <si>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</si>
  <si>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</si>
  <si>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</si>
  <si>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</si>
  <si>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</si>
  <si>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</si>
  <si>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</si>
  <si>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</si>
  <si>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</si>
  <si>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</si>
  <si>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</si>
  <si>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</si>
  <si>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</si>
  <si>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</si>
  <si>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</si>
  <si>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</si>
  <si>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</si>
  <si>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</si>
  <si>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</si>
  <si>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</si>
  <si>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</si>
  <si>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</si>
  <si>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</si>
  <si>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</si>
  <si>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</si>
  <si>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</si>
  <si>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</si>
  <si>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</si>
  <si>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</si>
  <si>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</si>
  <si>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</si>
  <si>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</si>
  <si>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</si>
  <si>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</si>
  <si>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</si>
  <si>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</si>
  <si>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</si>
  <si>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</si>
  <si>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</si>
  <si>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</si>
  <si>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</si>
  <si>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</si>
  <si>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</si>
  <si>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</si>
  <si>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</si>
  <si>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</si>
  <si>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</si>
  <si>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</si>
  <si>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</si>
  <si>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</si>
  <si>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</si>
  <si>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</si>
  <si>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</si>
  <si>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</si>
  <si>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</si>
  <si>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</si>
  <si>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</si>
  <si>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</si>
  <si>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</si>
  <si>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</si>
  <si>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</si>
  <si>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</si>
  <si>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</si>
  <si>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</si>
  <si>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</si>
  <si>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</si>
  <si>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</si>
  <si>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</si>
  <si>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</si>
  <si>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</si>
  <si>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</si>
  <si>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</si>
  <si>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</si>
  <si>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</si>
  <si>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</si>
  <si>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</si>
  <si>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</si>
  <si>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</si>
  <si>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</si>
  <si>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</si>
  <si>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</si>
  <si>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</si>
  <si>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</si>
  <si>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</si>
  <si>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</si>
  <si>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</si>
  <si>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</si>
  <si>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</si>
  <si>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</si>
  <si>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</si>
  <si>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</si>
  <si>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</si>
  <si>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</si>
  <si>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</si>
  <si>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</si>
  <si>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</si>
  <si>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</si>
  <si>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</si>
  <si>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</si>
  <si>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</si>
  <si>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</si>
  <si>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</si>
  <si>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</si>
  <si>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</si>
  <si>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</si>
  <si>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</si>
  <si>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</si>
  <si>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</si>
  <si>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</si>
  <si>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</si>
  <si>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</si>
  <si>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</si>
  <si>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</si>
  <si>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</si>
  <si>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</si>
  <si>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</si>
  <si>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</si>
  <si>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</si>
  <si>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</si>
  <si>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</si>
  <si>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</si>
  <si>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</si>
  <si>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</si>
  <si>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</si>
  <si>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</si>
  <si>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</si>
  <si>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</si>
  <si>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</si>
  <si>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</si>
  <si>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</si>
  <si>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</si>
  <si>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</si>
  <si>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</si>
  <si>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</si>
  <si>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</si>
  <si>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</si>
  <si>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</si>
  <si>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</si>
  <si>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</si>
  <si>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</si>
  <si>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</si>
  <si>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</si>
  <si>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</si>
  <si>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</si>
  <si>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</si>
  <si>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</si>
  <si>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</si>
  <si>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</si>
  <si>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</si>
  <si>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</si>
  <si>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</si>
  <si>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</si>
  <si>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</si>
  <si>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</si>
  <si>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</si>
  <si>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</si>
  <si>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</si>
  <si>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Sum of Revenue_Difference</t>
  </si>
  <si>
    <t>Row Labels</t>
  </si>
  <si>
    <t>Grand Total</t>
  </si>
  <si>
    <t>Column Labels</t>
  </si>
  <si>
    <t>Revenue Generated</t>
  </si>
  <si>
    <t>Jan</t>
  </si>
  <si>
    <t>Feb</t>
  </si>
  <si>
    <t>Mar</t>
  </si>
  <si>
    <t>Apr</t>
  </si>
  <si>
    <t>May</t>
  </si>
  <si>
    <t>Jun</t>
  </si>
  <si>
    <t>Sum of Expected_Revenue</t>
  </si>
  <si>
    <t>Total Leakage</t>
  </si>
  <si>
    <t>Count of Order_ID</t>
  </si>
  <si>
    <t>Count of Leakage_Flag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</si>
</sst>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3" x14ac:knownFonts="1">
    <font>
      <sz val="11"/>
      <color theme="1"/>
      <name val="Calibri"/>
      <family val="2"/>
      <scheme val="minor"/>
    </font>
    <font>
      <b/>
      <sz val="12"/>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1" applyNumberFormat="1" applyFont="1"/>
    <xf numFmtId="3" fontId="0" fillId="0" borderId="0" xfId="0" applyNumberFormat="1"/>
    <xf numFmtId="0" fontId="1" fillId="0" borderId="0" xfId="0" applyFont="1"/>
  </cellXfs>
  <cellStyles count="2">
    <cellStyle name="Normal" xfId="0" builtinId="0"/>
    <cellStyle name="Percent" xfId="1" builtinId="5"/>
  </cellStyles>
  <dxfs count="2">
    <dxf>
      <font>
        <sz val="12"/>
      </font>
    </dxf>
    <dxf>
      <font>
        <b/>
      </font>
    </dxf>
  </dxfs>
  <tableStyles count="1" defaultTableStyle="TableStyleMedium9" defaultPivotStyle="PivotStyleLight16">
    <tableStyle name="Invisible" pivot="0" table="0" count="0" xr9:uid="{DFF473C1-2612-4A67-B5D3-9A0783003FFD}"/>
  </tableStyles>
  <colors>
    <mruColors>
      <color rgb="FFB23A3A"/>
      <color rgb="FF1F3A5F"/>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[Revenue Leakage Detection System.xlsx]Leakage by Category!PivotTable2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Leakage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6376650437781"/>
          <c:y val="0.22127606240231207"/>
          <c:w val="0.8787388886472064"/>
          <c:h val="0.68840905069450575"/>
        </c:manualLayout>
      </c:layout>
      <c:barChart>
        <c:barDir val="col"/>
        <c:grouping val="clustered"/>
        <c:varyColors val="0"/>
        <c:ser>
          <c:idx val="0"/>
          <c:order val="0"/>
          <c:tx>
            <c:strRef>
              <c:f>'Leakage by Category'!$B$3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'Leakage by Category'!$A$4:$A$11</c:f>
              <c:strCache>
                <c:ptCount val="7"/>
                <c:pt idx="0">
                  <c:v>Electronics</c:v>
                </c:pt>
                <c:pt idx="1">
                  <c:v>Home Appliances</c:v>
                </c:pt>
                <c:pt idx="2">
                  <c:v>Furniture</c:v>
                </c:pt>
                <c:pt idx="3">
                  <c:v>Accessories</c:v>
                </c:pt>
                <c:pt idx="4">
                  <c:v>Wearables</c:v>
                </c:pt>
                <c:pt idx="5">
                  <c:v>Home Security</c:v>
                </c:pt>
                <c:pt idx="6">
                  <c:v>Photography</c:v>
                </c:pt>
              </c:strCache>
            </c:strRef>
          </c:cat>
          <c:val>
            <c:numRef>
              <c:f>'Leakage by Category'!$B$4:$B$11</c:f>
              <c:numCache>
                <c:formatCode>General</c:formatCode>
                <c:ptCount val="7"/>
                <c:pt idx="0">
                  <c:v>2332255.1099999985</c:v>
                </c:pt>
                <c:pt idx="1">
                  <c:v>699642.5199999999</c:v>
                </c:pt>
                <c:pt idx="2">
                  <c:v>348008.17999999993</c:v>
                </c:pt>
                <c:pt idx="3">
                  <c:v>333601.44000000018</c:v>
                </c:pt>
                <c:pt idx="4">
                  <c:v>279179.72000000003</c:v>
                </c:pt>
                <c:pt idx="5">
                  <c:v>149064.24999999994</c:v>
                </c:pt>
                <c:pt idx="6">
                  <c:v>60020.089999999989</c:v>
                </c:pt>
              </c:numCache>
            </c:numRef>
          </c:val>
          <c:extLst>
            <c:ext xmlns:c16="http://schemas.microsoft.com/office/drawing/2014/chart" uri="{C3380CC4-5D6E-409C-BE32-E72D297353CC}">
              <c16:uniqueId val="{00000000-962A-4511-B207-56733FFAA76B}"/>
            </c:ext>
          </c:extLst>
        </c:ser>
        <c:dLbls>
          <c:dLblPos val="outEnd"/>
          <c:showLegendKey val="0"/>
          <c:showVal val="1"/>
          <c:showCatName val="0"/>
          <c:showSerName val="0"/>
          <c:showPercent val="0"/>
          <c:showBubbleSize val="0"/>
        </c:dLbls>
        <c:gapWidth val="150"/>
        <c:axId val="3276431"/>
        <c:axId val="3277391"/>
      </c:barChart>
      <c:catAx>
        <c:axId val="327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391"/>
        <c:crosses val="autoZero"/>
        <c:auto val="1"/>
        <c:lblAlgn val="ctr"/>
        <c:lblOffset val="100"/>
        <c:noMultiLvlLbl val="0"/>
      </c:catAx>
      <c:valAx>
        <c:axId val="3277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[Revenue Leakage Detection System.xlsx]Top 10 Products Causing Leakage!PivotTable4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Leakage-Contributing SKUs</a:t>
            </a:r>
            <a:endParaRPr lang="en-US"/>
          </a:p>
        </c:rich>
      </c:tx>
      <c:layout>
        <c:manualLayout>
          <c:xMode val="edge"/>
          <c:yMode val="edge"/>
          <c:x val="0.16800976049868765"/>
          <c:y val="3.147412980062729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31694963910763"/>
          <c:y val="0.11936664254015604"/>
          <c:w val="0.52719867536089238"/>
          <c:h val="0.79614743491325424"/>
        </c:manualLayout>
      </c:layout>
      <c:barChart>
        <c:barDir val="bar"/>
        <c:grouping val="clustered"/>
        <c:varyColors val="0"/>
        <c:ser>
          <c:idx val="0"/>
          <c:order val="0"/>
          <c:tx>
            <c:strRef>
              <c:f>'Top 10 Products Causing Leakage'!$B$3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 Causing Leakage'!$A$4:$A$14</c:f>
              <c:strCache>
                <c:ptCount val="10"/>
                <c:pt idx="0">
                  <c:v>Noise Cancelling Earbuds</c:v>
                </c:pt>
                <c:pt idx="1">
                  <c:v>Wireless Speaker</c:v>
                </c:pt>
                <c:pt idx="2">
                  <c:v>Home Security CCTV Camera</c:v>
                </c:pt>
                <c:pt idx="3">
                  <c:v>Mechanical Gaming Keyboard</c:v>
                </c:pt>
                <c:pt idx="4">
                  <c:v>Smartwatch</c:v>
                </c:pt>
                <c:pt idx="5">
                  <c:v>Vacuum Cleaner</c:v>
                </c:pt>
                <c:pt idx="6">
                  <c:v>Air Purifier for Home</c:v>
                </c:pt>
                <c:pt idx="7">
                  <c:v>Ergonomic Office Chair</c:v>
                </c:pt>
                <c:pt idx="8">
                  <c:v>Smart LED TV 43-inch</c:v>
                </c:pt>
                <c:pt idx="9">
                  <c:v>Smart LED TV 55-inch</c:v>
                </c:pt>
              </c:strCache>
            </c:strRef>
          </c:cat>
          <c:val>
            <c:numRef>
              <c:f>'Top 10 Products Causing Leakage'!$B$4:$B$14</c:f>
              <c:numCache>
                <c:formatCode>General</c:formatCode>
                <c:ptCount val="10"/>
                <c:pt idx="0">
                  <c:v>131096.41999999998</c:v>
                </c:pt>
                <c:pt idx="1">
                  <c:v>137425.19</c:v>
                </c:pt>
                <c:pt idx="2">
                  <c:v>149064.24999999994</c:v>
                </c:pt>
                <c:pt idx="3">
                  <c:v>157186.43</c:v>
                </c:pt>
                <c:pt idx="4">
                  <c:v>230327.97000000009</c:v>
                </c:pt>
                <c:pt idx="5">
                  <c:v>290375.19999999995</c:v>
                </c:pt>
                <c:pt idx="6">
                  <c:v>298139.25999999989</c:v>
                </c:pt>
                <c:pt idx="7">
                  <c:v>348008.17999999993</c:v>
                </c:pt>
                <c:pt idx="8">
                  <c:v>831042.5</c:v>
                </c:pt>
                <c:pt idx="9">
                  <c:v>985448.88999999978</c:v>
                </c:pt>
              </c:numCache>
            </c:numRef>
          </c:val>
          <c:extLst>
            <c:ext xmlns:c16="http://schemas.microsoft.com/office/drawing/2014/chart" uri="{C3380CC4-5D6E-409C-BE32-E72D297353CC}">
              <c16:uniqueId val="{00000000-DFDD-44A9-B4B5-6862D47228F3}"/>
            </c:ext>
          </c:extLst>
        </c:ser>
        <c:dLbls>
          <c:dLblPos val="inEnd"/>
          <c:showLegendKey val="0"/>
          <c:showVal val="1"/>
          <c:showCatName val="0"/>
          <c:showSerName val="0"/>
          <c:showPercent val="0"/>
          <c:showBubbleSize val="0"/>
        </c:dLbls>
        <c:gapWidth val="150"/>
        <c:axId val="15671855"/>
        <c:axId val="15670895"/>
      </c:barChart>
      <c:catAx>
        <c:axId val="1567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0895"/>
        <c:crosses val="autoZero"/>
        <c:auto val="1"/>
        <c:lblAlgn val="ctr"/>
        <c:lblOffset val="100"/>
        <c:noMultiLvlLbl val="0"/>
      </c:catAx>
      <c:valAx>
        <c:axId val="1567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Leakage Detection System.xlsx]Sheet9!PivotTable6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Orders Affected by Revenue Leakage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s>
    <c:plotArea>
      <c:layout>
        <c:manualLayout>
          <c:layoutTarget val="inner"/>
          <c:xMode val="edge"/>
          <c:yMode val="edge"/>
          <c:x val="1.8392622797150357E-2"/>
          <c:y val="0.1796220268186321"/>
          <c:w val="0.97416690101237347"/>
          <c:h val="0.64944460067491561"/>
        </c:manualLayout>
      </c:layout>
      <c:barChart>
        <c:barDir val="bar"/>
        <c:grouping val="clustered"/>
        <c:varyColors val="0"/>
        <c:ser>
          <c:idx val="0"/>
          <c:order val="0"/>
          <c:tx>
            <c:strRef>
              <c:f>Sheet9!$B$3</c:f>
              <c:strCache>
                <c:ptCount val="1"/>
                <c:pt idx="0">
                  <c:v>Total</c:v>
                </c:pt>
              </c:strCache>
            </c:strRef>
          </c:tx>
          <c:spPr>
            <a:solidFill>
              <a:schemeClr val="accent6">
                <a:lumMod val="75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Sheet9!$A$4:$A$6</c:f>
              <c:strCache>
                <c:ptCount val="2"/>
                <c:pt idx="0">
                  <c:v>LEAKAGE</c:v>
                </c:pt>
                <c:pt idx="1">
                  <c:v>OK</c:v>
                </c:pt>
              </c:strCache>
            </c:strRef>
          </c:cat>
          <c:val>
            <c:numRef>
              <c:f>Sheet9!$B$4:$B$6</c:f>
              <c:numCache>
                <c:formatCode>General</c:formatCode>
                <c:ptCount val="2"/>
                <c:pt idx="0">
                  <c:v>901</c:v>
                </c:pt>
                <c:pt idx="1">
                  <c:v>299</c:v>
                </c:pt>
              </c:numCache>
            </c:numRef>
          </c:val>
          <c:extLst>
            <c:ext xmlns:c16="http://schemas.microsoft.com/office/drawing/2014/chart" uri="{C3380CC4-5D6E-409C-BE32-E72D297353CC}">
              <c16:uniqueId val="{00000004-2A79-4B16-9006-97A376F5F26E}"/>
            </c:ext>
          </c:extLst>
        </c:ser>
        <c:dLbls>
          <c:showLegendKey val="0"/>
          <c:showVal val="0"/>
          <c:showCatName val="0"/>
          <c:showSerName val="0"/>
          <c:showPercent val="0"/>
          <c:showBubbleSize val="0"/>
        </c:dLbls>
        <c:gapWidth val="100"/>
        <c:axId val="309587359"/>
        <c:axId val="309585439"/>
      </c:barChart>
      <c:valAx>
        <c:axId val="3095854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87359"/>
        <c:crosses val="autoZero"/>
        <c:crossBetween val="between"/>
      </c:valAx>
      <c:catAx>
        <c:axId val="3095873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854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Leakage Detection System.xlsx]Sheet8!PivotTable5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Leakage Cause Distribution</a:t>
            </a:r>
            <a:endParaRPr lang="en-US"/>
          </a:p>
        </c:rich>
      </c:tx>
      <c:layout>
        <c:manualLayout>
          <c:xMode val="edge"/>
          <c:yMode val="edge"/>
          <c:x val="0.25013852435112283"/>
          <c:y val="1.483679525222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manualLayout>
          <c:layoutTarget val="inner"/>
          <c:xMode val="edge"/>
          <c:yMode val="edge"/>
          <c:x val="0.1025133496244004"/>
          <c:y val="0.18509223732587848"/>
          <c:w val="0.86047968141913289"/>
          <c:h val="0.71503993079196748"/>
        </c:manualLayout>
      </c:layout>
      <c:barChart>
        <c:barDir val="col"/>
        <c:grouping val="clustered"/>
        <c:varyColors val="0"/>
        <c:ser>
          <c:idx val="0"/>
          <c:order val="0"/>
          <c:tx>
            <c:strRef>
              <c:f>Sheet8!$B$3</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1-2A94-4DE9-822A-60C143ED143E}"/>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3-2A94-4DE9-822A-60C143ED14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Billing Error</c:v>
                </c:pt>
                <c:pt idx="1">
                  <c:v>Excess Discount</c:v>
                </c:pt>
              </c:strCache>
            </c:strRef>
          </c:cat>
          <c:val>
            <c:numRef>
              <c:f>Sheet8!$B$4:$B$6</c:f>
              <c:numCache>
                <c:formatCode>General</c:formatCode>
                <c:ptCount val="2"/>
                <c:pt idx="0">
                  <c:v>2231362.3999999994</c:v>
                </c:pt>
                <c:pt idx="1">
                  <c:v>2429508.6000000006</c:v>
                </c:pt>
              </c:numCache>
            </c:numRef>
          </c:val>
          <c:extLst>
            <c:ext xmlns:c16="http://schemas.microsoft.com/office/drawing/2014/chart" uri="{C3380CC4-5D6E-409C-BE32-E72D297353CC}">
              <c16:uniqueId val="{00000004-2A94-4DE9-822A-60C143ED143E}"/>
            </c:ext>
          </c:extLst>
        </c:ser>
        <c:dLbls>
          <c:dLblPos val="inEnd"/>
          <c:showLegendKey val="0"/>
          <c:showVal val="1"/>
          <c:showCatName val="0"/>
          <c:showSerName val="0"/>
          <c:showPercent val="0"/>
          <c:showBubbleSize val="0"/>
        </c:dLbls>
        <c:gapWidth val="100"/>
        <c:axId val="295402671"/>
        <c:axId val="295403151"/>
      </c:barChart>
      <c:catAx>
        <c:axId val="295402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03151"/>
        <c:crosses val="autoZero"/>
        <c:auto val="1"/>
        <c:lblAlgn val="ctr"/>
        <c:lblOffset val="100"/>
        <c:noMultiLvlLbl val="0"/>
      </c:catAx>
      <c:valAx>
        <c:axId val="295403151"/>
        <c:scaling>
          <c:orientation val="minMax"/>
        </c:scaling>
        <c:delete val="1"/>
        <c:axPos val="l"/>
        <c:numFmt formatCode="General" sourceLinked="1"/>
        <c:majorTickMark val="out"/>
        <c:minorTickMark val="none"/>
        <c:tickLblPos val="nextTo"/>
        <c:crossAx val="29540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[Revenue Leakage Detection System.xlsx]Monthly Leakage Trend!PivotTable3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Leakage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591920029135117E-2"/>
          <c:y val="0.16396993810786914"/>
          <c:w val="0.91261676022554605"/>
          <c:h val="0.64603096695141227"/>
        </c:manualLayout>
      </c:layout>
      <c:lineChart>
        <c:grouping val="standard"/>
        <c:varyColors val="0"/>
        <c:ser>
          <c:idx val="0"/>
          <c:order val="0"/>
          <c:tx>
            <c:strRef>
              <c:f>'Monthly Leakage Trend'!$B$3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Leakage Trend'!$A$4:$A$10</c:f>
              <c:strCache>
                <c:ptCount val="6"/>
                <c:pt idx="0">
                  <c:v>Jan</c:v>
                </c:pt>
                <c:pt idx="1">
                  <c:v>Feb</c:v>
                </c:pt>
                <c:pt idx="2">
                  <c:v>Mar</c:v>
                </c:pt>
                <c:pt idx="3">
                  <c:v>Apr</c:v>
                </c:pt>
                <c:pt idx="4">
                  <c:v>May</c:v>
                </c:pt>
                <c:pt idx="5">
                  <c:v>Jun</c:v>
                </c:pt>
              </c:strCache>
            </c:strRef>
          </c:cat>
          <c:val>
            <c:numRef>
              <c:f>'Monthly Leakage Trend'!$B$4:$B$10</c:f>
              <c:numCache>
                <c:formatCode>General</c:formatCode>
                <c:ptCount val="6"/>
                <c:pt idx="0">
                  <c:v>569162.30000000016</c:v>
                </c:pt>
                <c:pt idx="1">
                  <c:v>667571.91999999993</c:v>
                </c:pt>
                <c:pt idx="2">
                  <c:v>595908.13999999978</c:v>
                </c:pt>
                <c:pt idx="3">
                  <c:v>864423.39000000025</c:v>
                </c:pt>
                <c:pt idx="4">
                  <c:v>619869.41</c:v>
                </c:pt>
                <c:pt idx="5">
                  <c:v>884836.15000000026</c:v>
                </c:pt>
              </c:numCache>
            </c:numRef>
          </c:val>
          <c:smooth val="0"/>
          <c:extLst>
            <c:ext xmlns:c16="http://schemas.microsoft.com/office/drawing/2014/chart" uri="{C3380CC4-5D6E-409C-BE32-E72D297353CC}">
              <c16:uniqueId val="{00000000-E65C-4B1E-AD58-B69A7A81A6CE}"/>
            </c:ext>
          </c:extLst>
        </c:ser>
        <c:dLbls>
          <c:dLblPos val="t"/>
          <c:showLegendKey val="0"/>
          <c:showVal val="1"/>
          <c:showCatName val="0"/>
          <c:showSerName val="0"/>
          <c:showPercent val="0"/>
          <c:showBubbleSize val="0"/>
        </c:dLbls>
        <c:marker val="1"/>
        <c:smooth val="0"/>
        <c:axId val="83922847"/>
        <c:axId val="83925247"/>
      </c:lineChart>
      <c:catAx>
        <c:axId val="8392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25247"/>
        <c:crosses val="autoZero"/>
        <c:auto val="1"/>
        <c:lblAlgn val="ctr"/>
        <c:lblOffset val="100"/>
        <c:noMultiLvlLbl val="0"/>
      </c:catAx>
      <c:valAx>
        <c:axId val="83925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2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Leakage Detection System.xlsx]Top 10 Products Causing Leakage!PivotTable4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2258202099737527"/>
          <c:y val="0.26328484981044037"/>
          <c:w val="0.28612160979877516"/>
          <c:h val="0.6293157626130067"/>
        </c:manualLayout>
      </c:layout>
      <c:bar3DChart>
        <c:barDir val="bar"/>
        <c:grouping val="stacked"/>
        <c:varyColors val="0"/>
        <c:ser>
          <c:idx val="0"/>
          <c:order val="0"/>
          <c:tx>
            <c:strRef>
              <c:f>'Top 10 Products Causing Leakage'!$B$3</c:f>
              <c:strCache>
                <c:ptCount val="1"/>
                <c:pt idx="0">
                  <c:v>Total</c:v>
                </c:pt>
              </c:strCache>
            </c:strRef>
          </c:tx>
          <c:spPr>
            <a:solidFill>
              <a:schemeClr val="accent1"/>
            </a:solidFill>
            <a:ln>
              <a:noFill/>
            </a:ln>
            <a:effectLst/>
            <a:sp3d/>
          </c:spPr>
          <c:invertIfNegative val="0"/>
          <c:cat>
            <c:strRef>
              <c:f>'Top 10 Products Causing Leakage'!$A$4:$A$14</c:f>
              <c:strCache>
                <c:ptCount val="10"/>
                <c:pt idx="0">
                  <c:v>Noise Cancelling Earbuds</c:v>
                </c:pt>
                <c:pt idx="1">
                  <c:v>Wireless Speaker</c:v>
                </c:pt>
                <c:pt idx="2">
                  <c:v>Home Security CCTV Camera</c:v>
                </c:pt>
                <c:pt idx="3">
                  <c:v>Mechanical Gaming Keyboard</c:v>
                </c:pt>
                <c:pt idx="4">
                  <c:v>Smartwatch</c:v>
                </c:pt>
                <c:pt idx="5">
                  <c:v>Vacuum Cleaner</c:v>
                </c:pt>
                <c:pt idx="6">
                  <c:v>Air Purifier for Home</c:v>
                </c:pt>
                <c:pt idx="7">
                  <c:v>Ergonomic Office Chair</c:v>
                </c:pt>
                <c:pt idx="8">
                  <c:v>Smart LED TV 43-inch</c:v>
                </c:pt>
                <c:pt idx="9">
                  <c:v>Smart LED TV 55-inch</c:v>
                </c:pt>
              </c:strCache>
            </c:strRef>
          </c:cat>
          <c:val>
            <c:numRef>
              <c:f>'Top 10 Products Causing Leakage'!$B$4:$B$14</c:f>
              <c:numCache>
                <c:formatCode>General</c:formatCode>
                <c:ptCount val="10"/>
                <c:pt idx="0">
                  <c:v>131096.41999999998</c:v>
                </c:pt>
                <c:pt idx="1">
                  <c:v>137425.19</c:v>
                </c:pt>
                <c:pt idx="2">
                  <c:v>149064.24999999994</c:v>
                </c:pt>
                <c:pt idx="3">
                  <c:v>157186.43</c:v>
                </c:pt>
                <c:pt idx="4">
                  <c:v>230327.97000000009</c:v>
                </c:pt>
                <c:pt idx="5">
                  <c:v>290375.19999999995</c:v>
                </c:pt>
                <c:pt idx="6">
                  <c:v>298139.25999999989</c:v>
                </c:pt>
                <c:pt idx="7">
                  <c:v>348008.17999999993</c:v>
                </c:pt>
                <c:pt idx="8">
                  <c:v>831042.5</c:v>
                </c:pt>
                <c:pt idx="9">
                  <c:v>985448.88999999978</c:v>
                </c:pt>
              </c:numCache>
            </c:numRef>
          </c:val>
          <c:extLst>
            <c:ext xmlns:c16="http://schemas.microsoft.com/office/drawing/2014/chart" uri="{C3380CC4-5D6E-409C-BE32-E72D297353CC}">
              <c16:uniqueId val="{00000000-767C-47F0-A736-381930E2A527}"/>
            </c:ext>
          </c:extLst>
        </c:ser>
        <c:dLbls>
          <c:showLegendKey val="0"/>
          <c:showVal val="0"/>
          <c:showCatName val="0"/>
          <c:showSerName val="0"/>
          <c:showPercent val="0"/>
          <c:showBubbleSize val="0"/>
        </c:dLbls>
        <c:gapWidth val="150"/>
        <c:shape val="box"/>
        <c:axId val="15671855"/>
        <c:axId val="15670895"/>
        <c:axId val="0"/>
      </c:bar3DChart>
      <c:catAx>
        <c:axId val="1567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0895"/>
        <c:crosses val="autoZero"/>
        <c:auto val="1"/>
        <c:lblAlgn val="ctr"/>
        <c:lblOffset val="100"/>
        <c:noMultiLvlLbl val="0"/>
      </c:catAx>
      <c:valAx>
        <c:axId val="1567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Leakage Detection System.xlsx]Sheet8!PivotTable5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s>
    <c:plotArea>
      <c:layout/>
      <c:doughnutChart>
        <c:varyColors val="1"/>
        <c:ser>
          <c:idx val="0"/>
          <c:order val="0"/>
          <c:tx>
            <c:strRef>
              <c:f>Sheet8!$B$3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D15-41F0-89D1-6765A69E47B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D15-41F0-89D1-6765A69E47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Sheet8!$A$4:$A$6</c:f>
              <c:strCache>
                <c:ptCount val="2"/>
                <c:pt idx="0">
                  <c:v>Billing Error</c:v>
                </c:pt>
                <c:pt idx="1">
                  <c:v>Excess Discount</c:v>
                </c:pt>
              </c:strCache>
            </c:strRef>
          </c:cat>
          <c:val>
            <c:numRef>
              <c:f>Sheet8!$B$4:$B$6</c:f>
              <c:numCache>
                <c:formatCode>General</c:formatCode>
                <c:ptCount val="2"/>
                <c:pt idx="0">
                  <c:v>2231362.3999999994</c:v>
                </c:pt>
                <c:pt idx="1">
                  <c:v>2429508.6000000006</c:v>
                </c:pt>
              </c:numCache>
            </c:numRef>
          </c:val>
          <c:extLst>
            <c:ext xmlns:c16="http://schemas.microsoft.com/office/drawing/2014/chart" uri="{C3380CC4-5D6E-409C-BE32-E72D297353CC}">
              <c16:uniqueId val="{00000000-9FC7-4CB1-9CD9-7C31EE75A2C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Leakage Detection System.xlsx]Sheet9!PivotTable6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s>
    <c:plotArea>
      <c:layout/>
      <c:pieChart>
        <c:varyColors val="1"/>
        <c:ser>
          <c:idx val="0"/>
          <c:order val="0"/>
          <c:tx>
            <c:strRef>
              <c:f>Sheet9!$B$3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D19-458A-BA04-956069924D0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D19-458A-BA04-956069924D00}"/>
              </c:ext>
            </c:extLst>
          </c:dPt>
          <c:cat>
            <c:strRef>
              <c:f>Sheet9!$A$4:$A$6</c:f>
              <c:strCache>
                <c:ptCount val="2"/>
                <c:pt idx="0">
                  <c:v>LEAKAGE</c:v>
                </c:pt>
                <c:pt idx="1">
                  <c:v>OK</c:v>
                </c:pt>
              </c:strCache>
            </c:strRef>
          </c:cat>
          <c:val>
            <c:numRef>
              <c:f>Sheet9!$B$4:$B$6</c:f>
              <c:numCache>
                <c:formatCode>General</c:formatCode>
                <c:ptCount val="2"/>
                <c:pt idx="0">
                  <c:v>901</c:v>
                </c:pt>
                <c:pt idx="1">
                  <c:v>299</c:v>
                </c:pt>
              </c:numCache>
            </c:numRef>
          </c:val>
          <c:extLst>
            <c:ext xmlns:c16="http://schemas.microsoft.com/office/drawing/2014/chart" uri="{C3380CC4-5D6E-409C-BE32-E72D297353CC}">
              <c16:uniqueId val="{00000000-37DD-405E-9DE9-D6AEFE37BD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Leakage Detection System.xlsx]Leakage by Category!PivotTable2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'Leakage by 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'Leakage by Category'!$A$4:$A$11</c:f>
              <c:strCache>
                <c:ptCount val="7"/>
                <c:pt idx="0">
                  <c:v>Electronics</c:v>
                </c:pt>
                <c:pt idx="1">
                  <c:v>Home Appliances</c:v>
                </c:pt>
                <c:pt idx="2">
                  <c:v>Furniture</c:v>
                </c:pt>
                <c:pt idx="3">
                  <c:v>Accessories</c:v>
                </c:pt>
                <c:pt idx="4">
                  <c:v>Wearables</c:v>
                </c:pt>
                <c:pt idx="5">
                  <c:v>Home Security</c:v>
                </c:pt>
                <c:pt idx="6">
                  <c:v>Photography</c:v>
                </c:pt>
              </c:strCache>
            </c:strRef>
          </c:cat>
          <c:val>
            <c:numRef>
              <c:f>'Leakage by Category'!$B$4:$B$11</c:f>
              <c:numCache>
                <c:formatCode>General</c:formatCode>
                <c:ptCount val="7"/>
                <c:pt idx="0">
                  <c:v>2332255.1099999985</c:v>
                </c:pt>
                <c:pt idx="1">
                  <c:v>699642.5199999999</c:v>
                </c:pt>
                <c:pt idx="2">
                  <c:v>348008.17999999993</c:v>
                </c:pt>
                <c:pt idx="3">
                  <c:v>333601.44000000018</c:v>
                </c:pt>
                <c:pt idx="4">
                  <c:v>279179.72000000003</c:v>
                </c:pt>
                <c:pt idx="5">
                  <c:v>149064.24999999994</c:v>
                </c:pt>
                <c:pt idx="6">
                  <c:v>60020.089999999989</c:v>
                </c:pt>
              </c:numCache>
            </c:numRef>
          </c:val>
          <c:extLst>
            <c:ext xmlns:c16="http://schemas.microsoft.com/office/drawing/2014/chart" uri="{C3380CC4-5D6E-409C-BE32-E72D297353CC}">
              <c16:uniqueId val="{00000000-02FF-46F4-B294-BA06E7F22D2B}"/>
            </c:ext>
          </c:extLst>
        </c:ser>
        <c:dLbls>
          <c:showLegendKey val="0"/>
          <c:showVal val="0"/>
          <c:showCatName val="0"/>
          <c:showSerName val="0"/>
          <c:showPercent val="0"/>
          <c:showBubbleSize val="0"/>
        </c:dLbls>
        <c:gapWidth val="150"/>
        <c:shape val="box"/>
        <c:axId val="3276431"/>
        <c:axId val="3277391"/>
        <c:axId val="0"/>
      </c:bar3DChart>
      <c:catAx>
        <c:axId val="327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7391"/>
        <c:crosses val="autoZero"/>
        <c:auto val="1"/>
        <c:lblAlgn val="ctr"/>
        <c:lblOffset val="100"/>
        <c:noMultiLvlLbl val="0"/>
      </c:catAx>
      <c:valAx>
        <c:axId val="32773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Leakage Detection System.xlsx]Monthly Leakage Trend!PivotTable3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Leakage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Leakage Trend'!$A$4:$A$10</c:f>
              <c:strCache>
                <c:ptCount val="6"/>
                <c:pt idx="0">
                  <c:v>Jan</c:v>
                </c:pt>
                <c:pt idx="1">
                  <c:v>Feb</c:v>
                </c:pt>
                <c:pt idx="2">
                  <c:v>Mar</c:v>
                </c:pt>
                <c:pt idx="3">
                  <c:v>Apr</c:v>
                </c:pt>
                <c:pt idx="4">
                  <c:v>May</c:v>
                </c:pt>
                <c:pt idx="5">
                  <c:v>Jun</c:v>
                </c:pt>
              </c:strCache>
            </c:strRef>
          </c:cat>
          <c:val>
            <c:numRef>
              <c:f>'Monthly Leakage Trend'!$B$4:$B$10</c:f>
              <c:numCache>
                <c:formatCode>General</c:formatCode>
                <c:ptCount val="6"/>
                <c:pt idx="0">
                  <c:v>569162.30000000016</c:v>
                </c:pt>
                <c:pt idx="1">
                  <c:v>667571.91999999993</c:v>
                </c:pt>
                <c:pt idx="2">
                  <c:v>595908.13999999978</c:v>
                </c:pt>
                <c:pt idx="3">
                  <c:v>864423.39000000025</c:v>
                </c:pt>
                <c:pt idx="4">
                  <c:v>619869.41</c:v>
                </c:pt>
                <c:pt idx="5">
                  <c:v>884836.15000000026</c:v>
                </c:pt>
              </c:numCache>
            </c:numRef>
          </c:val>
          <c:smooth val="0"/>
          <c:extLst>
            <c:ext xmlns:c16="http://schemas.microsoft.com/office/drawing/2014/chart" uri="{C3380CC4-5D6E-409C-BE32-E72D297353CC}">
              <c16:uniqueId val="{00000000-6776-47EB-8B4B-7A6F3066682D}"/>
            </c:ext>
          </c:extLst>
        </c:ser>
        <c:dLbls>
          <c:showLegendKey val="0"/>
          <c:showVal val="0"/>
          <c:showCatName val="0"/>
          <c:showSerName val="0"/>
          <c:showPercent val="0"/>
          <c:showBubbleSize val="0"/>
        </c:dLbls>
        <c:marker val="1"/>
        <c:smooth val="0"/>
        <c:axId val="83922847"/>
        <c:axId val="83925247"/>
      </c:lineChart>
      <c:catAx>
        <c:axId val="8392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25247"/>
        <c:crosses val="autoZero"/>
        <c:auto val="1"/>
        <c:lblAlgn val="ctr"/>
        <c:lblOffset val="100"/>
        <c:noMultiLvlLbl val="0"/>
      </c:catAx>
      <c:valAx>
        <c:axId val="8392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2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23</xdr:col>
      <xdr:colOff>7620</xdr:colOff>
      <xdr:row>4</xdr:row>
      <xdr:rowOff>76200</xdr:rowOff>
    </xdr:to>
    <xdr:sp macro="" textlink="">
      <xdr:nvSpPr>
        <xdr:cNvPr id="2" name="Rectangle: Rounded Corners 1">
          <a:extLst>
            <a:ext uri="{FF2B5EF4-FFF2-40B4-BE49-F238E27FC236}">
              <a16:creationId xmlns:a16="http://schemas.microsoft.com/office/drawing/2014/main" id="{AD4150F2-C07C-9DC4-800F-71DF7C074E0B}"/>
            </a:ext>
          </a:extLst>
        </xdr:cNvPr>
        <xdr:cNvSpPr/>
      </xdr:nvSpPr>
      <xdr:spPr>
        <a:xfrm>
          <a:off x="7620" y="0"/>
          <a:ext cx="13837920" cy="807720"/>
        </a:xfrm>
        <a:prstGeom prst="roundRect">
          <a:avLst/>
        </a:prstGeom>
        <a:solidFill>
          <a:srgbClr val="1F3A5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b="1">
              <a:solidFill>
                <a:schemeClr val="bg1"/>
              </a:solidFill>
            </a:rPr>
            <a:t>Revenue Leakage Detection Dashboard</a:t>
          </a:r>
        </a:p>
      </xdr:txBody>
    </xdr:sp>
    <xdr:clientData/>
  </xdr:twoCellAnchor>
  <xdr:twoCellAnchor>
    <xdr:from>
      <xdr:col>0</xdr:col>
      <xdr:colOff>38100</xdr:colOff>
      <xdr:row>4</xdr:row>
      <xdr:rowOff>167640</xdr:rowOff>
    </xdr:from>
    <xdr:to>
      <xdr:col>22</xdr:col>
      <xdr:colOff>601980</xdr:colOff>
      <xdr:row>7</xdr:row>
      <xdr:rowOff>0</xdr:rowOff>
    </xdr:to>
    <xdr:sp macro="" textlink="">
      <xdr:nvSpPr>
        <xdr:cNvPr id="3" name="Rectangle 2">
          <a:extLst>
            <a:ext uri="{FF2B5EF4-FFF2-40B4-BE49-F238E27FC236}">
              <a16:creationId xmlns:a16="http://schemas.microsoft.com/office/drawing/2014/main" id="{A2142788-314E-7A1B-28B0-4124B89E60F3}"/>
            </a:ext>
          </a:extLst>
        </xdr:cNvPr>
        <xdr:cNvSpPr/>
      </xdr:nvSpPr>
      <xdr:spPr>
        <a:xfrm>
          <a:off x="38100" y="899160"/>
          <a:ext cx="13792200" cy="381000"/>
        </a:xfrm>
        <a:prstGeom prst="rect">
          <a:avLst/>
        </a:prstGeom>
        <a:solidFill>
          <a:srgbClr val="1F3A5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a:solidFill>
                <a:schemeClr val="bg1">
                  <a:lumMod val="75000"/>
                </a:schemeClr>
              </a:solidFill>
            </a:rPr>
            <a:t>Discount &amp; Billing Variance Analysis</a:t>
          </a:r>
        </a:p>
      </xdr:txBody>
    </xdr:sp>
    <xdr:clientData/>
  </xdr:twoCellAnchor>
  <xdr:twoCellAnchor>
    <xdr:from>
      <xdr:col>6</xdr:col>
      <xdr:colOff>106680</xdr:colOff>
      <xdr:row>8</xdr:row>
      <xdr:rowOff>22860</xdr:rowOff>
    </xdr:from>
    <xdr:to>
      <xdr:col>9</xdr:col>
      <xdr:colOff>289560</xdr:colOff>
      <xdr:row>12</xdr:row>
      <xdr:rowOff>15240</xdr:rowOff>
    </xdr:to>
    <xdr:sp macro="" textlink="KPI_Cards!D13">
      <xdr:nvSpPr>
        <xdr:cNvPr id="6" name="Rectangle: Rounded Corners 5">
          <a:extLst>
            <a:ext uri="{FF2B5EF4-FFF2-40B4-BE49-F238E27FC236}">
              <a16:creationId xmlns:a16="http://schemas.microsoft.com/office/drawing/2014/main" id="{95204669-E249-4E8B-8F73-8D1FB03F89FC}"/>
            </a:ext>
          </a:extLst>
        </xdr:cNvPr>
        <xdr:cNvSpPr/>
      </xdr:nvSpPr>
      <xdr:spPr>
        <a:xfrm>
          <a:off x="3764280" y="1379220"/>
          <a:ext cx="2011680" cy="723900"/>
        </a:xfrm>
        <a:prstGeom prst="round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1600" b="0" i="0" u="none" strike="noStrike" cap="none" spc="0">
              <a:ln w="0"/>
              <a:solidFill>
                <a:srgbClr val="B23A3A"/>
              </a:solidFill>
              <a:effectLst>
                <a:outerShdw blurRad="38100" dist="19050" dir="2700000" algn="tl" rotWithShape="0">
                  <a:schemeClr val="dk1">
                    <a:alpha val="40000"/>
                  </a:schemeClr>
                </a:outerShdw>
              </a:effectLst>
              <a:latin typeface="Calibri"/>
              <a:ea typeface="Calibri"/>
              <a:cs typeface="Calibri"/>
            </a:rPr>
            <a:t>Total Orders</a:t>
          </a:r>
        </a:p>
        <a:p>
          <a:pPr marL="0" indent="0" algn="ctr"/>
          <a:fld id="{8C54D46F-02A3-41AF-8A6A-73C383604FB7}" type="TxLink">
            <a:rPr lang="en-US" sz="1600" b="0" i="0" u="none" strike="noStrike" cap="none" spc="0">
              <a:ln w="0"/>
              <a:solidFill>
                <a:srgbClr val="B23A3A"/>
              </a:solidFill>
              <a:effectLst>
                <a:outerShdw blurRad="38100" dist="19050" dir="2700000" algn="tl" rotWithShape="0">
                  <a:schemeClr val="dk1">
                    <a:alpha val="40000"/>
                  </a:schemeClr>
                </a:outerShdw>
              </a:effectLst>
              <a:latin typeface="Calibri"/>
              <a:ea typeface="Calibri"/>
              <a:cs typeface="Calibri"/>
            </a:rPr>
            <a:pPr marL="0" indent="0" algn="ctr"/>
            <a:t>1200</a:t>
          </a:fld>
          <a:endParaRPr lang="en-IN" sz="1600" b="0" i="0" u="none" strike="noStrike" cap="none" spc="0">
            <a:ln w="0"/>
            <a:solidFill>
              <a:srgbClr val="B23A3A"/>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editAs="oneCell">
    <xdr:from>
      <xdr:col>0</xdr:col>
      <xdr:colOff>0</xdr:colOff>
      <xdr:row>31</xdr:row>
      <xdr:rowOff>7620</xdr:rowOff>
    </xdr:from>
    <xdr:to>
      <xdr:col>3</xdr:col>
      <xdr:colOff>0</xdr:colOff>
      <xdr:row>39</xdr:row>
      <xdr:rowOff>20319</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6337F5B-255F-4937-AF7F-2EA7084E9DC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5417820"/>
              <a:ext cx="1828800" cy="1435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106680</xdr:rowOff>
    </xdr:from>
    <xdr:to>
      <xdr:col>3</xdr:col>
      <xdr:colOff>7620</xdr:colOff>
      <xdr:row>53</xdr:row>
      <xdr:rowOff>0</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FCAC4B07-CC50-47B1-925C-A5309A12507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6939280"/>
              <a:ext cx="1836420" cy="238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388620</xdr:colOff>
      <xdr:row>8</xdr:row>
      <xdr:rowOff>15240</xdr:rowOff>
    </xdr:from>
    <xdr:to>
      <xdr:col>22</xdr:col>
      <xdr:colOff>594360</xdr:colOff>
      <xdr:row>15</xdr:row>
      <xdr:rowOff>106680</xdr:rowOff>
    </xdr:to>
    <mc:AlternateContent xmlns:mc="http://schemas.openxmlformats.org/markup-compatibility/2006" xmlns:tsle="http://schemas.microsoft.com/office/drawing/2012/timeslicer">
      <mc:Choice Requires="tsle">
        <xdr:graphicFrame macro="">
          <xdr:nvGraphicFramePr>
            <xdr:cNvPr id="11" name="Order_Date 1">
              <a:extLst>
                <a:ext uri="{FF2B5EF4-FFF2-40B4-BE49-F238E27FC236}">
                  <a16:creationId xmlns:a16="http://schemas.microsoft.com/office/drawing/2014/main" id="{E9EACB45-7B57-48D4-BACC-F6C642BD02EF}"/>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5875020" y="1336040"/>
              <a:ext cx="7952740" cy="1336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388620</xdr:colOff>
      <xdr:row>15</xdr:row>
      <xdr:rowOff>167640</xdr:rowOff>
    </xdr:from>
    <xdr:to>
      <xdr:col>23</xdr:col>
      <xdr:colOff>22860</xdr:colOff>
      <xdr:row>35</xdr:row>
      <xdr:rowOff>7620</xdr:rowOff>
    </xdr:to>
    <xdr:graphicFrame macro="">
      <xdr:nvGraphicFramePr>
        <xdr:cNvPr id="12" name="Chart 11">
          <a:extLst>
            <a:ext uri="{FF2B5EF4-FFF2-40B4-BE49-F238E27FC236}">
              <a16:creationId xmlns:a16="http://schemas.microsoft.com/office/drawing/2014/main" id="{139E85ED-00C3-43F7-A546-40978BB11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34</xdr:row>
      <xdr:rowOff>7620</xdr:rowOff>
    </xdr:from>
    <xdr:to>
      <xdr:col>9</xdr:col>
      <xdr:colOff>327660</xdr:colOff>
      <xdr:row>52</xdr:row>
      <xdr:rowOff>175260</xdr:rowOff>
    </xdr:to>
    <xdr:graphicFrame macro="">
      <xdr:nvGraphicFramePr>
        <xdr:cNvPr id="15" name="Chart 14">
          <a:extLst>
            <a:ext uri="{FF2B5EF4-FFF2-40B4-BE49-F238E27FC236}">
              <a16:creationId xmlns:a16="http://schemas.microsoft.com/office/drawing/2014/main" id="{ED4BDAAD-72AB-4A15-B69F-C8E3A0D2F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19</xdr:row>
      <xdr:rowOff>106680</xdr:rowOff>
    </xdr:from>
    <xdr:to>
      <xdr:col>3</xdr:col>
      <xdr:colOff>0</xdr:colOff>
      <xdr:row>30</xdr:row>
      <xdr:rowOff>121920</xdr:rowOff>
    </xdr:to>
    <mc:AlternateContent xmlns:mc="http://schemas.openxmlformats.org/markup-compatibility/2006" xmlns:a14="http://schemas.microsoft.com/office/drawing/2010/main">
      <mc:Choice Requires="a14">
        <xdr:graphicFrame macro="">
          <xdr:nvGraphicFramePr>
            <xdr:cNvPr id="9" name="Salesperson 1">
              <a:extLst>
                <a:ext uri="{FF2B5EF4-FFF2-40B4-BE49-F238E27FC236}">
                  <a16:creationId xmlns:a16="http://schemas.microsoft.com/office/drawing/2014/main" id="{52F9E12A-5958-46C1-B36E-619F13592D13}"/>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0" y="3383280"/>
              <a:ext cx="1828800" cy="1971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xdr:colOff>
      <xdr:row>19</xdr:row>
      <xdr:rowOff>106680</xdr:rowOff>
    </xdr:from>
    <xdr:to>
      <xdr:col>5</xdr:col>
      <xdr:colOff>541020</xdr:colOff>
      <xdr:row>33</xdr:row>
      <xdr:rowOff>106680</xdr:rowOff>
    </xdr:to>
    <xdr:graphicFrame macro="">
      <xdr:nvGraphicFramePr>
        <xdr:cNvPr id="16" name="Chart 15">
          <a:extLst>
            <a:ext uri="{FF2B5EF4-FFF2-40B4-BE49-F238E27FC236}">
              <a16:creationId xmlns:a16="http://schemas.microsoft.com/office/drawing/2014/main" id="{96043A07-7D84-4841-B02B-51DA908AF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19</xdr:row>
      <xdr:rowOff>114300</xdr:rowOff>
    </xdr:from>
    <xdr:to>
      <xdr:col>9</xdr:col>
      <xdr:colOff>304800</xdr:colOff>
      <xdr:row>33</xdr:row>
      <xdr:rowOff>121920</xdr:rowOff>
    </xdr:to>
    <xdr:graphicFrame macro="">
      <xdr:nvGraphicFramePr>
        <xdr:cNvPr id="17" name="Chart 16">
          <a:extLst>
            <a:ext uri="{FF2B5EF4-FFF2-40B4-BE49-F238E27FC236}">
              <a16:creationId xmlns:a16="http://schemas.microsoft.com/office/drawing/2014/main" id="{11004DC8-F7F2-4D49-A95F-B15D95E1D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388620</xdr:colOff>
      <xdr:row>35</xdr:row>
      <xdr:rowOff>137160</xdr:rowOff>
    </xdr:from>
    <xdr:to>
      <xdr:col>19</xdr:col>
      <xdr:colOff>22860</xdr:colOff>
      <xdr:row>52</xdr:row>
      <xdr:rowOff>175260</xdr:rowOff>
    </xdr:to>
    <xdr:graphicFrame macro="">
      <xdr:nvGraphicFramePr>
        <xdr:cNvPr id="19" name="Chart 18">
          <a:extLst>
            <a:ext uri="{FF2B5EF4-FFF2-40B4-BE49-F238E27FC236}">
              <a16:creationId xmlns:a16="http://schemas.microsoft.com/office/drawing/2014/main" id="{EF188FDE-14D9-4EAF-BC58-EC11A160D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xdr:colOff>
      <xdr:row>8</xdr:row>
      <xdr:rowOff>15240</xdr:rowOff>
    </xdr:from>
    <xdr:to>
      <xdr:col>2</xdr:col>
      <xdr:colOff>502920</xdr:colOff>
      <xdr:row>11</xdr:row>
      <xdr:rowOff>152400</xdr:rowOff>
    </xdr:to>
    <xdr:sp macro="" textlink="KPI_Cards!D2">
      <xdr:nvSpPr>
        <xdr:cNvPr id="20" name="Rectangle: Rounded Corners 19">
          <a:extLst>
            <a:ext uri="{FF2B5EF4-FFF2-40B4-BE49-F238E27FC236}">
              <a16:creationId xmlns:a16="http://schemas.microsoft.com/office/drawing/2014/main" id="{9975F8E0-A213-44C1-AC36-C0C98E7B4A5C}"/>
            </a:ext>
          </a:extLst>
        </xdr:cNvPr>
        <xdr:cNvSpPr/>
      </xdr:nvSpPr>
      <xdr:spPr>
        <a:xfrm>
          <a:off x="7620" y="1371600"/>
          <a:ext cx="1714500" cy="685800"/>
        </a:xfrm>
        <a:prstGeom prst="round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1600" b="0" i="0" u="none" strike="noStrike" cap="none" spc="0">
              <a:ln w="0"/>
              <a:solidFill>
                <a:srgbClr val="B23A3A"/>
              </a:solidFill>
              <a:effectLst>
                <a:outerShdw blurRad="38100" dist="19050" dir="2700000" algn="tl" rotWithShape="0">
                  <a:schemeClr val="dk1">
                    <a:alpha val="40000"/>
                  </a:schemeClr>
                </a:outerShdw>
              </a:effectLst>
              <a:latin typeface="Calibri"/>
              <a:ea typeface="Calibri"/>
              <a:cs typeface="Calibri"/>
            </a:rPr>
            <a:t>Total Revenue </a:t>
          </a:r>
          <a:fld id="{A63B2D8A-2BC5-4BC0-AC90-4ED7933E4BF8}" type="TxLink">
            <a:rPr lang="en-US" sz="1600" b="0" i="0" u="none" strike="noStrike" cap="none" spc="0">
              <a:ln w="0"/>
              <a:solidFill>
                <a:srgbClr val="B23A3A"/>
              </a:solidFill>
              <a:effectLst>
                <a:outerShdw blurRad="38100" dist="19050" dir="2700000" algn="tl" rotWithShape="0">
                  <a:schemeClr val="dk1">
                    <a:alpha val="40000"/>
                  </a:schemeClr>
                </a:outerShdw>
              </a:effectLst>
              <a:latin typeface="Calibri"/>
              <a:ea typeface="Calibri"/>
              <a:cs typeface="Calibri"/>
            </a:rPr>
            <a:pPr marL="0" indent="0" algn="ctr"/>
            <a:t>42,01,771</a:t>
          </a:fld>
          <a:endParaRPr lang="en-US" sz="1600" b="0" i="0" u="none" strike="noStrike" cap="none" spc="0">
            <a:ln w="0"/>
            <a:solidFill>
              <a:srgbClr val="B23A3A"/>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2</xdr:col>
      <xdr:colOff>594360</xdr:colOff>
      <xdr:row>8</xdr:row>
      <xdr:rowOff>7620</xdr:rowOff>
    </xdr:from>
    <xdr:to>
      <xdr:col>5</xdr:col>
      <xdr:colOff>601980</xdr:colOff>
      <xdr:row>12</xdr:row>
      <xdr:rowOff>7620</xdr:rowOff>
    </xdr:to>
    <xdr:sp macro="" textlink="KPI_Cards!B8">
      <xdr:nvSpPr>
        <xdr:cNvPr id="21" name="Rectangle: Rounded Corners 20">
          <a:extLst>
            <a:ext uri="{FF2B5EF4-FFF2-40B4-BE49-F238E27FC236}">
              <a16:creationId xmlns:a16="http://schemas.microsoft.com/office/drawing/2014/main" id="{8CCF37E6-8D14-4D70-956E-13D1BFBA0F33}"/>
            </a:ext>
          </a:extLst>
        </xdr:cNvPr>
        <xdr:cNvSpPr/>
      </xdr:nvSpPr>
      <xdr:spPr>
        <a:xfrm>
          <a:off x="1813560" y="1363980"/>
          <a:ext cx="1836420" cy="731520"/>
        </a:xfrm>
        <a:prstGeom prst="round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1600" b="0" i="0" u="none" strike="noStrike" cap="none" spc="0">
              <a:ln w="0"/>
              <a:solidFill>
                <a:srgbClr val="B23A3A"/>
              </a:solidFill>
              <a:effectLst>
                <a:outerShdw blurRad="38100" dist="19050" dir="2700000" algn="tl" rotWithShape="0">
                  <a:schemeClr val="dk1">
                    <a:alpha val="40000"/>
                  </a:schemeClr>
                </a:outerShdw>
              </a:effectLst>
              <a:latin typeface="Calibri"/>
              <a:ea typeface="Calibri"/>
              <a:cs typeface="Calibri"/>
            </a:rPr>
            <a:t>Total Leakage </a:t>
          </a:r>
          <a:fld id="{EC4D59DA-D6B2-4866-9F8E-B3381E0234E9}" type="TxLink">
            <a:rPr lang="en-US" sz="1600" b="0" i="0" u="none" strike="noStrike" cap="none" spc="0">
              <a:ln w="0"/>
              <a:solidFill>
                <a:srgbClr val="B23A3A"/>
              </a:solidFill>
              <a:effectLst>
                <a:outerShdw blurRad="38100" dist="19050" dir="2700000" algn="tl" rotWithShape="0">
                  <a:schemeClr val="dk1">
                    <a:alpha val="40000"/>
                  </a:schemeClr>
                </a:outerShdw>
              </a:effectLst>
              <a:latin typeface="Calibri"/>
              <a:ea typeface="Calibri"/>
              <a:cs typeface="Calibri"/>
            </a:rPr>
            <a:pPr marL="0" indent="0" algn="ctr"/>
            <a:t>5.1%</a:t>
          </a:fld>
          <a:endParaRPr lang="en-IN" sz="1600" b="0" i="0" u="none" strike="noStrike" cap="none" spc="0">
            <a:ln w="0"/>
            <a:solidFill>
              <a:srgbClr val="B23A3A"/>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19</xdr:col>
      <xdr:colOff>83820</xdr:colOff>
      <xdr:row>35</xdr:row>
      <xdr:rowOff>152400</xdr:rowOff>
    </xdr:from>
    <xdr:to>
      <xdr:col>23</xdr:col>
      <xdr:colOff>0</xdr:colOff>
      <xdr:row>53</xdr:row>
      <xdr:rowOff>0</xdr:rowOff>
    </xdr:to>
    <xdr:sp macro="" textlink="">
      <xdr:nvSpPr>
        <xdr:cNvPr id="22" name="Rectangle 21">
          <a:extLst>
            <a:ext uri="{FF2B5EF4-FFF2-40B4-BE49-F238E27FC236}">
              <a16:creationId xmlns:a16="http://schemas.microsoft.com/office/drawing/2014/main" id="{49AA534E-0C51-F4FF-23D5-63759F87E4BC}"/>
            </a:ext>
          </a:extLst>
        </xdr:cNvPr>
        <xdr:cNvSpPr/>
      </xdr:nvSpPr>
      <xdr:spPr>
        <a:xfrm>
          <a:off x="11483340" y="6446520"/>
          <a:ext cx="2354580" cy="3139440"/>
        </a:xfrm>
        <a:prstGeom prst="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Recommended Actions :</a:t>
          </a:r>
        </a:p>
        <a:p>
          <a:r>
            <a:rPr lang="en-IN" sz="1800"/>
            <a:t>1. Enforce approval limits on high-discount Electronics SKUs.</a:t>
          </a:r>
        </a:p>
        <a:p>
          <a:r>
            <a:rPr lang="en-IN" sz="1800"/>
            <a:t>2.</a:t>
          </a:r>
          <a:r>
            <a:rPr lang="en-IN" sz="1800" baseline="0"/>
            <a:t> </a:t>
          </a:r>
          <a:r>
            <a:rPr lang="en-IN" sz="1800"/>
            <a:t>Audit top 5 leakage-causing products weekly</a:t>
          </a:r>
        </a:p>
        <a:p>
          <a:r>
            <a:rPr lang="en-IN" sz="1800"/>
            <a:t>3.Add billing validation checks before invoice generation</a:t>
          </a:r>
        </a:p>
        <a:p>
          <a:pPr algn="l"/>
          <a:endParaRPr lang="en-IN" sz="1600"/>
        </a:p>
      </xdr:txBody>
    </xdr:sp>
    <xdr:clientData/>
  </xdr:twoCellAnchor>
  <xdr:twoCellAnchor>
    <xdr:from>
      <xdr:col>0</xdr:col>
      <xdr:colOff>15240</xdr:colOff>
      <xdr:row>12</xdr:row>
      <xdr:rowOff>68580</xdr:rowOff>
    </xdr:from>
    <xdr:to>
      <xdr:col>2</xdr:col>
      <xdr:colOff>525780</xdr:colOff>
      <xdr:row>19</xdr:row>
      <xdr:rowOff>15240</xdr:rowOff>
    </xdr:to>
    <xdr:sp macro="" textlink="">
      <xdr:nvSpPr>
        <xdr:cNvPr id="23" name="Rectangle 22">
          <a:extLst>
            <a:ext uri="{FF2B5EF4-FFF2-40B4-BE49-F238E27FC236}">
              <a16:creationId xmlns:a16="http://schemas.microsoft.com/office/drawing/2014/main" id="{9333881F-E33B-DF50-24E0-F0890A3D764F}"/>
            </a:ext>
          </a:extLst>
        </xdr:cNvPr>
        <xdr:cNvSpPr/>
      </xdr:nvSpPr>
      <xdr:spPr>
        <a:xfrm>
          <a:off x="15240" y="2156460"/>
          <a:ext cx="1729740" cy="1226820"/>
        </a:xfrm>
        <a:prstGeom prst="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t>Root Cause                        </a:t>
          </a:r>
          <a:r>
            <a:rPr lang="en-IN"/>
            <a:t>78% of revenue leakage is driven by excess discounts. </a:t>
          </a:r>
          <a:r>
            <a:rPr lang="en-IN" sz="1000"/>
            <a:t>Excess discounting contributes the majority of total leakage, outweighing billing errors.</a:t>
          </a:r>
        </a:p>
        <a:p>
          <a:pPr algn="l"/>
          <a:endParaRPr lang="en-IN" sz="1100"/>
        </a:p>
      </xdr:txBody>
    </xdr:sp>
    <xdr:clientData/>
  </xdr:twoCellAnchor>
  <xdr:twoCellAnchor>
    <xdr:from>
      <xdr:col>3</xdr:col>
      <xdr:colOff>15240</xdr:colOff>
      <xdr:row>12</xdr:row>
      <xdr:rowOff>83820</xdr:rowOff>
    </xdr:from>
    <xdr:to>
      <xdr:col>6</xdr:col>
      <xdr:colOff>0</xdr:colOff>
      <xdr:row>19</xdr:row>
      <xdr:rowOff>30480</xdr:rowOff>
    </xdr:to>
    <xdr:sp macro="" textlink="">
      <xdr:nvSpPr>
        <xdr:cNvPr id="24" name="Rectangle 23">
          <a:extLst>
            <a:ext uri="{FF2B5EF4-FFF2-40B4-BE49-F238E27FC236}">
              <a16:creationId xmlns:a16="http://schemas.microsoft.com/office/drawing/2014/main" id="{6FC23AB3-B23F-4CF7-A5E1-34A78C30BC76}"/>
            </a:ext>
          </a:extLst>
        </xdr:cNvPr>
        <xdr:cNvSpPr/>
      </xdr:nvSpPr>
      <xdr:spPr>
        <a:xfrm>
          <a:off x="1844040" y="2171700"/>
          <a:ext cx="1813560" cy="1226820"/>
        </a:xfrm>
        <a:prstGeom prst="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t>Category Impact               </a:t>
          </a:r>
          <a:r>
            <a:rPr lang="en-IN" sz="1100">
              <a:solidFill>
                <a:schemeClr val="dk1"/>
              </a:solidFill>
              <a:latin typeface="+mn-lt"/>
              <a:ea typeface="+mn-ea"/>
              <a:cs typeface="+mn-cs"/>
            </a:rPr>
            <a:t>Electronics</a:t>
          </a:r>
          <a:r>
            <a:rPr lang="en-IN"/>
            <a:t> contributes ~55% of total leakage value </a:t>
          </a:r>
          <a:r>
            <a:rPr lang="en-IN" sz="1050"/>
            <a:t>High-value electronics SKUs account for the largest share of leakage across categories</a:t>
          </a:r>
          <a:r>
            <a:rPr lang="en-IN"/>
            <a:t>.</a:t>
          </a:r>
        </a:p>
        <a:p>
          <a:pPr algn="l"/>
          <a:endParaRPr lang="en-IN" sz="1100"/>
        </a:p>
      </xdr:txBody>
    </xdr:sp>
    <xdr:clientData/>
  </xdr:twoCellAnchor>
  <xdr:twoCellAnchor>
    <xdr:from>
      <xdr:col>6</xdr:col>
      <xdr:colOff>76200</xdr:colOff>
      <xdr:row>12</xdr:row>
      <xdr:rowOff>83820</xdr:rowOff>
    </xdr:from>
    <xdr:to>
      <xdr:col>9</xdr:col>
      <xdr:colOff>327660</xdr:colOff>
      <xdr:row>19</xdr:row>
      <xdr:rowOff>45720</xdr:rowOff>
    </xdr:to>
    <xdr:sp macro="" textlink="">
      <xdr:nvSpPr>
        <xdr:cNvPr id="25" name="Rectangle 24">
          <a:extLst>
            <a:ext uri="{FF2B5EF4-FFF2-40B4-BE49-F238E27FC236}">
              <a16:creationId xmlns:a16="http://schemas.microsoft.com/office/drawing/2014/main" id="{D64F1708-C545-4EC0-BF76-32B019D1C7C5}"/>
            </a:ext>
          </a:extLst>
        </xdr:cNvPr>
        <xdr:cNvSpPr/>
      </xdr:nvSpPr>
      <xdr:spPr>
        <a:xfrm>
          <a:off x="3733800" y="2171700"/>
          <a:ext cx="2080260" cy="1242060"/>
        </a:xfrm>
        <a:prstGeom prst="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Time Pattern                         </a:t>
          </a:r>
          <a:r>
            <a:rPr lang="en-IN" sz="1100"/>
            <a:t>Leakage spikes in April &amp; June due to campaign discounting. </a:t>
          </a:r>
          <a:r>
            <a:rPr lang="en-IN" sz="1000"/>
            <a:t>Seasonal promotions show a direct correlation with elevated leakage levels.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1684020</xdr:colOff>
      <xdr:row>1</xdr:row>
      <xdr:rowOff>156210</xdr:rowOff>
    </xdr:from>
    <xdr:to>
      <xdr:col>9</xdr:col>
      <xdr:colOff>289560</xdr:colOff>
      <xdr:row>26</xdr:row>
      <xdr:rowOff>152400</xdr:rowOff>
    </xdr:to>
    <xdr:graphicFrame macro="">
      <xdr:nvGraphicFramePr>
        <xdr:cNvPr id="2" name="Chart 1">
          <a:extLst>
            <a:ext uri="{FF2B5EF4-FFF2-40B4-BE49-F238E27FC236}">
              <a16:creationId xmlns:a16="http://schemas.microsoft.com/office/drawing/2014/main" id="{0D57CA55-70A2-62EF-22A9-E7206EBBF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83820</xdr:colOff>
      <xdr:row>4</xdr:row>
      <xdr:rowOff>53340</xdr:rowOff>
    </xdr:from>
    <xdr:to>
      <xdr:col>8</xdr:col>
      <xdr:colOff>403860</xdr:colOff>
      <xdr:row>19</xdr:row>
      <xdr:rowOff>64770</xdr:rowOff>
    </xdr:to>
    <xdr:graphicFrame macro="">
      <xdr:nvGraphicFramePr>
        <xdr:cNvPr id="3" name="Chart 2">
          <a:extLst>
            <a:ext uri="{FF2B5EF4-FFF2-40B4-BE49-F238E27FC236}">
              <a16:creationId xmlns:a16="http://schemas.microsoft.com/office/drawing/2014/main" id="{182C3D39-7BFA-AC11-B16C-A855DA247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990600</xdr:colOff>
      <xdr:row>6</xdr:row>
      <xdr:rowOff>41910</xdr:rowOff>
    </xdr:from>
    <xdr:to>
      <xdr:col>9</xdr:col>
      <xdr:colOff>167640</xdr:colOff>
      <xdr:row>21</xdr:row>
      <xdr:rowOff>41910</xdr:rowOff>
    </xdr:to>
    <xdr:graphicFrame macro="">
      <xdr:nvGraphicFramePr>
        <xdr:cNvPr id="2" name="Chart 1">
          <a:extLst>
            <a:ext uri="{FF2B5EF4-FFF2-40B4-BE49-F238E27FC236}">
              <a16:creationId xmlns:a16="http://schemas.microsoft.com/office/drawing/2014/main" id="{F0F6FE9E-F345-BDE9-7A59-433F17093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xdr:colOff>
      <xdr:row>0</xdr:row>
      <xdr:rowOff>0</xdr:rowOff>
    </xdr:from>
    <xdr:to>
      <xdr:col>10</xdr:col>
      <xdr:colOff>30480</xdr:colOff>
      <xdr:row>23</xdr:row>
      <xdr:rowOff>30480</xdr:rowOff>
    </xdr:to>
    <xdr:graphicFrame macro="">
      <xdr:nvGraphicFramePr>
        <xdr:cNvPr id="2" name="Chart 1">
          <a:extLst>
            <a:ext uri="{FF2B5EF4-FFF2-40B4-BE49-F238E27FC236}">
              <a16:creationId xmlns:a16="http://schemas.microsoft.com/office/drawing/2014/main" id="{D37931B7-5575-221F-87FA-C06BABF6D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60960</xdr:colOff>
      <xdr:row>0</xdr:row>
      <xdr:rowOff>0</xdr:rowOff>
    </xdr:from>
    <xdr:to>
      <xdr:col>10</xdr:col>
      <xdr:colOff>525780</xdr:colOff>
      <xdr:row>25</xdr:row>
      <xdr:rowOff>91440</xdr:rowOff>
    </xdr:to>
    <xdr:graphicFrame macro="">
      <xdr:nvGraphicFramePr>
        <xdr:cNvPr id="2" name="Chart 1">
          <a:extLst>
            <a:ext uri="{FF2B5EF4-FFF2-40B4-BE49-F238E27FC236}">
              <a16:creationId xmlns:a16="http://schemas.microsoft.com/office/drawing/2014/main" id="{B428456D-63DF-9D77-42B0-BD13F5373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350520</xdr:colOff>
      <xdr:row>1</xdr:row>
      <xdr:rowOff>91440</xdr:rowOff>
    </xdr:from>
    <xdr:to>
      <xdr:col>2</xdr:col>
      <xdr:colOff>350520</xdr:colOff>
      <xdr:row>4</xdr:row>
      <xdr:rowOff>152400</xdr:rowOff>
    </xdr:to>
    <xdr:sp macro="" textlink="KPI_Cards!D2">
      <xdr:nvSpPr>
        <xdr:cNvPr id="4" name="Rectangle: Rounded Corners 3">
          <a:extLst>
            <a:ext uri="{FF2B5EF4-FFF2-40B4-BE49-F238E27FC236}">
              <a16:creationId xmlns:a16="http://schemas.microsoft.com/office/drawing/2014/main" id="{8FEA38F4-B4AD-3514-C2B2-C71F6C13633D}"/>
            </a:ext>
          </a:extLst>
        </xdr:cNvPr>
        <xdr:cNvSpPr/>
      </xdr:nvSpPr>
      <xdr:spPr>
        <a:xfrm>
          <a:off x="350520" y="274320"/>
          <a:ext cx="1219200" cy="609600"/>
        </a:xfrm>
        <a:prstGeom prst="roundRect">
          <a:avLst/>
        </a:prstGeom>
        <a:solidFill>
          <a:schemeClr val="bg1">
            <a:lumMod val="6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i="0" u="none" strike="noStrike" cap="none" spc="0">
              <a:ln>
                <a:solidFill>
                  <a:schemeClr val="accent4"/>
                </a:solidFill>
              </a:ln>
              <a:solidFill>
                <a:srgbClr val="000000"/>
              </a:solidFill>
              <a:effectLst>
                <a:outerShdw blurRad="38100" dist="19050" dir="2700000" algn="tl" rotWithShape="0">
                  <a:schemeClr val="dk1">
                    <a:lumMod val="50000"/>
                    <a:alpha val="40000"/>
                  </a:schemeClr>
                </a:outerShdw>
              </a:effectLst>
              <a:latin typeface="Calibri"/>
              <a:ea typeface="Calibri"/>
              <a:cs typeface="Calibri"/>
            </a:rPr>
            <a:t>Total Revenue </a:t>
          </a:r>
          <a:fld id="{A63B2D8A-2BC5-4BC0-AC90-4ED7933E4BF8}" type="TxLink">
            <a:rPr lang="en-US" sz="1100" b="0" i="0" u="none" strike="noStrike" cap="none" spc="0">
              <a:ln>
                <a:solidFill>
                  <a:schemeClr val="accent4"/>
                </a:solidFill>
              </a:ln>
              <a:solidFill>
                <a:srgbClr val="000000"/>
              </a:solidFill>
              <a:effectLst>
                <a:outerShdw blurRad="38100" dist="19050" dir="2700000" algn="tl" rotWithShape="0">
                  <a:schemeClr val="dk1">
                    <a:lumMod val="50000"/>
                    <a:alpha val="40000"/>
                  </a:schemeClr>
                </a:outerShdw>
              </a:effectLst>
              <a:latin typeface="Calibri"/>
              <a:ea typeface="Calibri"/>
              <a:cs typeface="Calibri"/>
            </a:rPr>
            <a:pPr algn="l"/>
            <a:t>42,01,771</a:t>
          </a:fld>
          <a:endParaRPr lang="en-US" sz="1200" b="1" i="0" u="none" strike="noStrike" cap="none" spc="0">
            <a:ln>
              <a:solidFill>
                <a:schemeClr val="accent4"/>
              </a:solidFill>
            </a:ln>
            <a:solidFill>
              <a:schemeClr val="tx1"/>
            </a:solidFill>
            <a:effectLst>
              <a:outerShdw blurRad="38100" dist="19050" dir="2700000" algn="tl" rotWithShape="0">
                <a:schemeClr val="dk1">
                  <a:lumMod val="50000"/>
                  <a:alpha val="40000"/>
                </a:schemeClr>
              </a:outerShdw>
            </a:effectLst>
            <a:latin typeface="Calibri"/>
            <a:ea typeface="Calibri"/>
            <a:cs typeface="Calibri"/>
          </a:endParaRPr>
        </a:p>
      </xdr:txBody>
    </xdr:sp>
    <xdr:clientData/>
  </xdr:twoCellAnchor>
  <xdr:twoCellAnchor>
    <xdr:from>
      <xdr:col>2</xdr:col>
      <xdr:colOff>91440</xdr:colOff>
      <xdr:row>6</xdr:row>
      <xdr:rowOff>152400</xdr:rowOff>
    </xdr:from>
    <xdr:to>
      <xdr:col>4</xdr:col>
      <xdr:colOff>144780</xdr:colOff>
      <xdr:row>10</xdr:row>
      <xdr:rowOff>121920</xdr:rowOff>
    </xdr:to>
    <xdr:sp macro="" textlink="KPI_Cards!B8">
      <xdr:nvSpPr>
        <xdr:cNvPr id="5" name="Rectangle: Rounded Corners 4">
          <a:extLst>
            <a:ext uri="{FF2B5EF4-FFF2-40B4-BE49-F238E27FC236}">
              <a16:creationId xmlns:a16="http://schemas.microsoft.com/office/drawing/2014/main" id="{545CDFB6-403B-170B-AC8C-34E851676134}"/>
            </a:ext>
          </a:extLst>
        </xdr:cNvPr>
        <xdr:cNvSpPr/>
      </xdr:nvSpPr>
      <xdr:spPr>
        <a:xfrm>
          <a:off x="1310640" y="1249680"/>
          <a:ext cx="1272540" cy="701040"/>
        </a:xfrm>
        <a:prstGeom prst="roundRect">
          <a:avLst/>
        </a:prstGeom>
        <a:solidFill>
          <a:schemeClr val="bg1">
            <a:lumMod val="6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1100" b="0" i="0" u="none" strike="noStrike" cap="none" spc="0">
              <a:ln>
                <a:solidFill>
                  <a:schemeClr val="accent4"/>
                </a:solidFill>
              </a:ln>
              <a:solidFill>
                <a:srgbClr val="000000"/>
              </a:solidFill>
              <a:effectLst>
                <a:outerShdw blurRad="38100" dist="19050" dir="2700000" algn="tl" rotWithShape="0">
                  <a:schemeClr val="dk1">
                    <a:lumMod val="50000"/>
                    <a:alpha val="40000"/>
                  </a:schemeClr>
                </a:outerShdw>
              </a:effectLst>
              <a:latin typeface="Calibri"/>
              <a:ea typeface="Calibri"/>
              <a:cs typeface="Calibri"/>
            </a:rPr>
            <a:t>Total Leakage </a:t>
          </a:r>
          <a:fld id="{EC4D59DA-D6B2-4866-9F8E-B3381E0234E9}" type="TxLink">
            <a:rPr lang="en-US" sz="1100" b="0" i="0" u="none" strike="noStrike" cap="none" spc="0">
              <a:ln>
                <a:solidFill>
                  <a:schemeClr val="accent4"/>
                </a:solidFill>
              </a:ln>
              <a:solidFill>
                <a:srgbClr val="000000"/>
              </a:solidFill>
              <a:effectLst>
                <a:outerShdw blurRad="38100" dist="19050" dir="2700000" algn="tl" rotWithShape="0">
                  <a:schemeClr val="dk1">
                    <a:lumMod val="50000"/>
                    <a:alpha val="40000"/>
                  </a:schemeClr>
                </a:outerShdw>
              </a:effectLst>
              <a:latin typeface="Calibri"/>
              <a:ea typeface="Calibri"/>
              <a:cs typeface="Calibri"/>
            </a:rPr>
            <a:pPr marL="0" indent="0" algn="l"/>
            <a:t>5.8%</a:t>
          </a:fld>
          <a:endParaRPr lang="en-IN" sz="1200" b="1" i="0" u="none" strike="noStrike" cap="none" spc="0">
            <a:ln>
              <a:solidFill>
                <a:schemeClr val="accent4"/>
              </a:solidFill>
            </a:ln>
            <a:solidFill>
              <a:schemeClr val="tx1"/>
            </a:solidFill>
            <a:effectLst>
              <a:outerShdw blurRad="38100" dist="19050" dir="2700000" algn="tl" rotWithShape="0">
                <a:schemeClr val="dk1">
                  <a:lumMod val="50000"/>
                  <a:alpha val="40000"/>
                </a:schemeClr>
              </a:outerShdw>
            </a:effectLst>
            <a:latin typeface="Calibri"/>
            <a:ea typeface="Calibri"/>
            <a:cs typeface="Calibri"/>
          </a:endParaRPr>
        </a:p>
      </xdr:txBody>
    </xdr:sp>
    <xdr:clientData/>
  </xdr:twoCellAnchor>
  <xdr:twoCellAnchor>
    <xdr:from>
      <xdr:col>0</xdr:col>
      <xdr:colOff>312420</xdr:colOff>
      <xdr:row>11</xdr:row>
      <xdr:rowOff>38100</xdr:rowOff>
    </xdr:from>
    <xdr:to>
      <xdr:col>2</xdr:col>
      <xdr:colOff>541020</xdr:colOff>
      <xdr:row>15</xdr:row>
      <xdr:rowOff>0</xdr:rowOff>
    </xdr:to>
    <xdr:sp macro="" textlink="KPI_Cards!D13">
      <xdr:nvSpPr>
        <xdr:cNvPr id="6" name="Rectangle: Rounded Corners 5">
          <a:extLst>
            <a:ext uri="{FF2B5EF4-FFF2-40B4-BE49-F238E27FC236}">
              <a16:creationId xmlns:a16="http://schemas.microsoft.com/office/drawing/2014/main" id="{E69471C3-F78E-C730-E903-CF479C5114E9}"/>
            </a:ext>
          </a:extLst>
        </xdr:cNvPr>
        <xdr:cNvSpPr/>
      </xdr:nvSpPr>
      <xdr:spPr>
        <a:xfrm>
          <a:off x="312420" y="2049780"/>
          <a:ext cx="1447800" cy="693420"/>
        </a:xfrm>
        <a:prstGeom prst="roundRect">
          <a:avLst/>
        </a:prstGeom>
        <a:solidFill>
          <a:schemeClr val="bg1">
            <a:lumMod val="6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1200" b="1" i="0" u="none" strike="noStrike" cap="none" spc="0">
              <a:ln>
                <a:solidFill>
                  <a:schemeClr val="accent4"/>
                </a:solidFill>
              </a:ln>
              <a:solidFill>
                <a:schemeClr val="tx1"/>
              </a:solidFill>
              <a:effectLst>
                <a:outerShdw blurRad="38100" dist="19050" dir="2700000" algn="tl" rotWithShape="0">
                  <a:schemeClr val="dk1">
                    <a:lumMod val="50000"/>
                    <a:alpha val="40000"/>
                  </a:schemeClr>
                </a:outerShdw>
              </a:effectLst>
              <a:latin typeface="Calibri"/>
              <a:ea typeface="Calibri"/>
              <a:cs typeface="Calibri"/>
            </a:rPr>
            <a:t>Total Orders</a:t>
          </a:r>
        </a:p>
        <a:p>
          <a:pPr marL="0" indent="0" algn="l"/>
          <a:fld id="{8C54D46F-02A3-41AF-8A6A-73C383604FB7}" type="TxLink">
            <a:rPr lang="en-US" sz="1200" b="1" i="0" u="none" strike="noStrike" cap="none" spc="0">
              <a:ln>
                <a:solidFill>
                  <a:schemeClr val="accent4"/>
                </a:solidFill>
              </a:ln>
              <a:solidFill>
                <a:schemeClr val="tx1"/>
              </a:solidFill>
              <a:effectLst>
                <a:outerShdw blurRad="38100" dist="19050" dir="2700000" algn="tl" rotWithShape="0">
                  <a:schemeClr val="dk1">
                    <a:lumMod val="50000"/>
                    <a:alpha val="40000"/>
                  </a:schemeClr>
                </a:outerShdw>
              </a:effectLst>
              <a:latin typeface="Calibri"/>
              <a:ea typeface="Calibri"/>
              <a:cs typeface="Calibri"/>
            </a:rPr>
            <a:pPr marL="0" indent="0" algn="l"/>
            <a:t>1200</a:t>
          </a:fld>
          <a:endParaRPr lang="en-IN" sz="1200" b="1" i="0" u="none" strike="noStrike" cap="none" spc="0">
            <a:ln>
              <a:solidFill>
                <a:schemeClr val="accent4"/>
              </a:solidFill>
            </a:ln>
            <a:solidFill>
              <a:schemeClr val="tx1"/>
            </a:solidFill>
            <a:effectLst>
              <a:outerShdw blurRad="38100" dist="19050" dir="2700000" algn="tl" rotWithShape="0">
                <a:schemeClr val="dk1">
                  <a:lumMod val="50000"/>
                  <a:alpha val="40000"/>
                </a:schemeClr>
              </a:outerShdw>
            </a:effectLst>
            <a:latin typeface="Calibri"/>
            <a:ea typeface="Calibri"/>
            <a:cs typeface="Calibri"/>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22860</xdr:colOff>
      <xdr:row>0</xdr:row>
      <xdr:rowOff>175261</xdr:rowOff>
    </xdr:from>
    <xdr:to>
      <xdr:col>3</xdr:col>
      <xdr:colOff>22860</xdr:colOff>
      <xdr:row>9</xdr:row>
      <xdr:rowOff>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FB61AFC-399D-4ACA-B060-165E8BD0C2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 y="175261"/>
              <a:ext cx="18288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xdr:row>
      <xdr:rowOff>1</xdr:rowOff>
    </xdr:from>
    <xdr:to>
      <xdr:col>7</xdr:col>
      <xdr:colOff>0</xdr:colOff>
      <xdr:row>11</xdr:row>
      <xdr:rowOff>167641</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37CD147B-3CF4-4774-B313-E4EBD6E4094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438400" y="182881"/>
              <a:ext cx="18288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xdr:row>
      <xdr:rowOff>1</xdr:rowOff>
    </xdr:from>
    <xdr:to>
      <xdr:col>11</xdr:col>
      <xdr:colOff>0</xdr:colOff>
      <xdr:row>13</xdr:row>
      <xdr:rowOff>30481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A758A6C0-C42C-4621-93DE-43D51993F7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76800" y="182881"/>
              <a:ext cx="1828800" cy="2225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472440</xdr:colOff>
      <xdr:row>15</xdr:row>
      <xdr:rowOff>106680</xdr:rowOff>
    </xdr:from>
    <xdr:to>
      <xdr:col>10</xdr:col>
      <xdr:colOff>213360</xdr:colOff>
      <xdr:row>23</xdr:row>
      <xdr:rowOff>15240</xdr:rowOff>
    </xdr:to>
    <mc:AlternateContent xmlns:mc="http://schemas.openxmlformats.org/markup-compatibility/2006" xmlns:tsle="http://schemas.microsoft.com/office/drawing/2012/timeslicer">
      <mc:Choice Requires="tsle">
        <xdr:graphicFrame macro="">
          <xdr:nvGraphicFramePr>
            <xdr:cNvPr id="5" name="Order_Date">
              <a:extLst>
                <a:ext uri="{FF2B5EF4-FFF2-40B4-BE49-F238E27FC236}">
                  <a16:creationId xmlns:a16="http://schemas.microsoft.com/office/drawing/2014/main" id="{976DFAF9-4303-4150-9C95-4D194009F92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472440" y="2849880"/>
              <a:ext cx="58369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in Murkute" refreshedDate="46020.476129513889" createdVersion="8" refreshedVersion="8" minRefreshableVersion="3" recordCount="1200" xr:uid="{364FA612-E0F6-4AC2-9CDA-EBE547BF8558}">
  <cacheSource type="worksheet">
    <worksheetSource ref="A1:Q1201" sheet="Main Data"/>
  </cacheSource>
  <cacheFields count="19">
    <cacheField name="Order_ID" numFmtId="0">
      <sharedItems/>
    </cacheField>
    <cacheField name="Order_Date" numFmtId="164">
      <sharedItems containsSemiMixedTypes="0" containsNonDate="0" containsDate="1" containsString="0" minDate="2024-01-01T00:00:00" maxDate="2024-06-30T00:00:00" count="180">
        <d v="2024-04-18T00:00:00"/>
        <d v="2024-01-20T00:00:00"/>
        <d v="2024-02-04T00:00:00"/>
        <d v="2024-02-15T00:00:00"/>
        <d v="2024-05-19T00:00:00"/>
        <d v="2024-03-14T00:00:00"/>
        <d v="2024-06-19T00:00:00"/>
        <d v="2024-01-09T00:00:00"/>
        <d v="2024-06-21T00:00:00"/>
        <d v="2024-03-20T00:00:00"/>
        <d v="2024-01-03T00:00:00"/>
        <d v="2024-03-13T00:00:00"/>
        <d v="2024-01-07T00:00:00"/>
        <d v="2024-06-11T00:00:00"/>
        <d v="2024-01-14T00:00:00"/>
        <d v="2024-04-22T00:00:00"/>
        <d v="2024-05-03T00:00:00"/>
        <d v="2024-02-26T00:00:00"/>
        <d v="2024-05-08T00:00:00"/>
        <d v="2024-05-23T00:00:00"/>
        <d v="2024-02-23T00:00:00"/>
        <d v="2024-02-13T00:00:00"/>
        <d v="2024-06-14T00:00:00"/>
        <d v="2024-01-04T00:00:00"/>
        <d v="2024-02-16T00:00:00"/>
        <d v="2024-06-15T00:00:00"/>
        <d v="2024-04-05T00:00:00"/>
        <d v="2024-05-01T00:00:00"/>
        <d v="2024-02-07T00:00:00"/>
        <d v="2024-02-24T00:00:00"/>
        <d v="2024-03-24T00:00:00"/>
        <d v="2024-04-23T00:00:00"/>
        <d v="2024-05-14T00:00:00"/>
        <d v="2024-04-29T00:00:00"/>
        <d v="2024-04-07T00:00:00"/>
        <d v="2024-06-22T00:00:00"/>
        <d v="2024-06-29T00:00:00"/>
        <d v="2024-06-10T00:00:00"/>
        <d v="2024-01-02T00:00:00"/>
        <d v="2024-01-23T00:00:00"/>
        <d v="2024-05-31T00:00:00"/>
        <d v="2024-04-19T00:00:00"/>
        <d v="2024-03-09T00:00:00"/>
        <d v="2024-05-25T00:00:00"/>
        <d v="2024-04-24T00:00:00"/>
        <d v="2024-01-11T00:00:00"/>
        <d v="2024-03-27T00:00:00"/>
        <d v="2024-06-24T00:00:00"/>
        <d v="2024-04-12T00:00:00"/>
        <d v="2024-06-04T00:00:00"/>
        <d v="2024-05-06T00:00:00"/>
        <d v="2024-01-06T00:00:00"/>
        <d v="2024-03-22T00:00:00"/>
        <d v="2024-03-15T00:00:00"/>
        <d v="2024-03-21T00:00:00"/>
        <d v="2024-02-06T00:00:00"/>
        <d v="2024-01-30T00:00:00"/>
        <d v="2024-05-27T00:00:00"/>
        <d v="2024-06-12T00:00:00"/>
        <d v="2024-02-01T00:00:00"/>
        <d v="2024-06-06T00:00:00"/>
        <d v="2024-03-31T00:00:00"/>
        <d v="2024-06-03T00:00:00"/>
        <d v="2024-06-08T00:00:00"/>
        <d v="2024-01-18T00:00:00"/>
        <d v="2024-03-03T00:00:00"/>
        <d v="2024-06-17T00:00:00"/>
        <d v="2024-05-17T00:00:00"/>
        <d v="2024-06-09T00:00:00"/>
        <d v="2024-04-30T00:00:00"/>
        <d v="2024-05-10T00:00:00"/>
        <d v="2024-02-09T00:00:00"/>
        <d v="2024-01-29T00:00:00"/>
        <d v="2024-02-21T00:00:00"/>
        <d v="2024-03-08T00:00:00"/>
        <d v="2024-04-28T00:00:00"/>
        <d v="2024-05-18T00:00:00"/>
        <d v="2024-04-13T00:00:00"/>
        <d v="2024-03-25T00:00:00"/>
        <d v="2024-04-11T00:00:00"/>
        <d v="2024-06-27T00:00:00"/>
        <d v="2024-01-25T00:00:00"/>
        <d v="2024-01-31T00:00:00"/>
        <d v="2024-04-25T00:00:00"/>
        <d v="2024-05-28T00:00:00"/>
        <d v="2024-05-04T00:00:00"/>
        <d v="2024-03-23T00:00:00"/>
        <d v="2024-06-28T00:00:00"/>
        <d v="2024-02-05T00:00:00"/>
        <d v="2024-03-11T00:00:00"/>
        <d v="2024-06-20T00:00:00"/>
        <d v="2024-01-01T00:00:00"/>
        <d v="2024-02-29T00:00:00"/>
        <d v="2024-01-28T00:00:00"/>
        <d v="2024-03-30T00:00:00"/>
        <d v="2024-06-07T00:00:00"/>
        <d v="2024-02-28T00:00:00"/>
        <d v="2024-01-24T00:00:00"/>
        <d v="2024-01-19T00:00:00"/>
        <d v="2024-04-16T00:00:00"/>
        <d v="2024-01-22T00:00:00"/>
        <d v="2024-02-10T00:00:00"/>
        <d v="2024-05-29T00:00:00"/>
        <d v="2024-05-20T00:00:00"/>
        <d v="2024-02-14T00:00:00"/>
        <d v="2024-06-01T00:00:00"/>
        <d v="2024-02-20T00:00:00"/>
        <d v="2024-02-17T00:00:00"/>
        <d v="2024-01-17T00:00:00"/>
        <d v="2024-01-10T00:00:00"/>
        <d v="2024-02-22T00:00:00"/>
        <d v="2024-04-27T00:00:00"/>
        <d v="2024-05-30T00:00:00"/>
        <d v="2024-05-09T00:00:00"/>
        <d v="2024-01-26T00:00:00"/>
        <d v="2024-06-25T00:00:00"/>
        <d v="2024-04-04T00:00:00"/>
        <d v="2024-02-03T00:00:00"/>
        <d v="2024-02-02T00:00:00"/>
        <d v="2024-03-17T00:00:00"/>
        <d v="2024-01-08T00:00:00"/>
        <d v="2024-03-18T00:00:00"/>
        <d v="2024-06-13T00:00:00"/>
        <d v="2024-05-12T00:00:00"/>
        <d v="2024-01-15T00:00:00"/>
        <d v="2024-05-11T00:00:00"/>
        <d v="2024-05-22T00:00:00"/>
        <d v="2024-05-16T00:00:00"/>
        <d v="2024-04-20T00:00:00"/>
        <d v="2024-04-09T00:00:00"/>
        <d v="2024-02-08T00:00:00"/>
        <d v="2024-04-02T00:00:00"/>
        <d v="2024-04-14T00:00:00"/>
        <d v="2024-05-05T00:00:00"/>
        <d v="2024-01-12T00:00:00"/>
        <d v="2024-06-05T00:00:00"/>
        <d v="2024-04-17T00:00:00"/>
        <d v="2024-04-26T00:00:00"/>
        <d v="2024-03-10T00:00:00"/>
        <d v="2024-01-13T00:00:00"/>
        <d v="2024-03-05T00:00:00"/>
        <d v="2024-03-29T00:00:00"/>
        <d v="2024-05-26T00:00:00"/>
        <d v="2024-03-01T00:00:00"/>
        <d v="2024-02-19T00:00:00"/>
        <d v="2024-01-21T00:00:00"/>
        <d v="2024-05-21T00:00:00"/>
        <d v="2024-03-26T00:00:00"/>
        <d v="2024-03-28T00:00:00"/>
        <d v="2024-03-07T00:00:00"/>
        <d v="2024-04-08T00:00:00"/>
        <d v="2024-03-04T00:00:00"/>
        <d v="2024-06-18T00:00:00"/>
        <d v="2024-04-21T00:00:00"/>
        <d v="2024-03-02T00:00:00"/>
        <d v="2024-04-06T00:00:00"/>
        <d v="2024-05-15T00:00:00"/>
        <d v="2024-01-05T00:00:00"/>
        <d v="2024-03-16T00:00:00"/>
        <d v="2024-02-11T00:00:00"/>
        <d v="2024-03-19T00:00:00"/>
        <d v="2024-02-12T00:00:00"/>
        <d v="2024-05-24T00:00:00"/>
        <d v="2024-04-10T00:00:00"/>
        <d v="2024-02-18T00:00:00"/>
        <d v="2024-04-03T00:00:00"/>
        <d v="2024-03-12T00:00:00"/>
        <d v="2024-03-06T00:00:00"/>
        <d v="2024-02-27T00:00:00"/>
        <d v="2024-04-15T00:00:00"/>
        <d v="2024-06-23T00:00:00"/>
        <d v="2024-05-02T00:00:00"/>
        <d v="2024-02-25T00:00:00"/>
        <d v="2024-06-16T00:00:00"/>
        <d v="2024-05-07T00:00:00"/>
        <d v="2024-01-16T00:00:00"/>
        <d v="2024-06-26T00:00:00"/>
        <d v="2024-05-13T00:00:00"/>
        <d v="2024-06-02T00:00:00"/>
        <d v="2024-01-27T00:00:00"/>
      </sharedItems>
      <fieldGroup par="18"/>
    </cacheField>
    <cacheField name="Region" numFmtId="0">
      <sharedItems count="4">
        <s v="East"/>
        <s v="West"/>
        <s v="South"/>
        <s v="North"/>
      </sharedItems>
    </cacheField>
    <cacheField name="Salesperson" numFmtId="0">
      <sharedItems count="6">
        <s v="Rahul"/>
        <s v="Amit"/>
        <s v="Suresh"/>
        <s v="Priya"/>
        <s v="Anita"/>
        <s v="Neha"/>
      </sharedItems>
    </cacheField>
    <cacheField name="Product_Name" numFmtId="0">
      <sharedItems count="24">
        <s v="External Hard Drive 1TB"/>
        <s v="Laptop Backpack (Water Resistant)"/>
        <s v="Wireless Optical Mouse"/>
        <s v="Mobile Phone Screen Protector"/>
        <s v="Vacuum Cleaner"/>
        <s v="Smart Wi-Fi Router"/>
        <s v="Induction Cooktop"/>
        <s v="Air Purifier for Home"/>
        <s v="Portable Power Bank 20000 mAh"/>
        <s v="DSLR Camera Tripod"/>
        <s v="Smartphone Car Mount"/>
        <s v="Smart LED TV 55-inch"/>
        <s v="Home Security CCTV Camera"/>
        <s v="Noise Cancelling Earbuds"/>
        <s v="Mechanical Gaming Keyboard"/>
        <s v="Electric Kettle 1.5L"/>
        <s v="USB-C Fast Charging Adapter"/>
        <s v="Laptop Cooling Pad"/>
        <s v="Ergonomic Office Chair"/>
        <s v="Wireless Bluetooth Headphones"/>
        <s v="Smartwatch"/>
        <s v="Smart Fitness Band"/>
        <s v="Smart LED TV 43-inch"/>
        <s v="Wireless Speaker"/>
      </sharedItems>
    </cacheField>
    <cacheField name="Category" numFmtId="0">
      <sharedItems count="7">
        <s v="Electronics"/>
        <s v="Accessories"/>
        <s v="Home Appliances"/>
        <s v="Photography"/>
        <s v="Home Security"/>
        <s v="Furniture"/>
        <s v="Wearables"/>
      </sharedItems>
    </cacheField>
    <cacheField name="Sub_Category" numFmtId="0">
      <sharedItems count="15">
        <s v="Storage"/>
        <s v="Laptop Accessories"/>
        <s v="Computer Accessories"/>
        <s v="Mobile Accessories"/>
        <s v="Cleaning Appliances"/>
        <s v="Networking"/>
        <s v="Kitchen Appliances"/>
        <s v="Air Treatment"/>
        <s v="Camera Accessories"/>
        <s v="Car Accessories"/>
        <s v="Television"/>
        <s v="Surveillance"/>
        <s v="Audio"/>
        <s v="Office Furniture"/>
        <s v="Fitness"/>
      </sharedItems>
    </cacheField>
    <cacheField name="Standard_Price" numFmtId="0">
      <sharedItems containsSemiMixedTypes="0" containsString="0" containsNumber="1" containsInteger="1" minValue="500" maxValue="60000"/>
    </cacheField>
    <cacheField name="Quantity" numFmtId="0">
      <sharedItems containsSemiMixedTypes="0" containsString="0" containsNumber="1" containsInteger="1" minValue="1" maxValue="15"/>
    </cacheField>
    <cacheField name="Allowed_Discount_Percent" numFmtId="0">
      <sharedItems containsSemiMixedTypes="0" containsString="0" containsNumber="1" containsInteger="1" minValue="5" maxValue="15"/>
    </cacheField>
    <cacheField name="Applied_Discount_Percent" numFmtId="0">
      <sharedItems containsSemiMixedTypes="0" containsString="0" containsNumber="1" containsInteger="1" minValue="0" maxValue="25"/>
    </cacheField>
    <cacheField name="Expected_Revenue" numFmtId="0">
      <sharedItems containsSemiMixedTypes="0" containsString="0" containsNumber="1" containsInteger="1" minValue="425" maxValue="810000"/>
    </cacheField>
    <cacheField name="Actual_Billed_Amount" numFmtId="0">
      <sharedItems containsSemiMixedTypes="0" containsString="0" containsNumber="1" minValue="362.33" maxValue="829257.8"/>
    </cacheField>
    <cacheField name="Revenue_Difference" numFmtId="0">
      <sharedItems containsSemiMixedTypes="0" containsString="0" containsNumber="1" minValue="-31257.800000000047" maxValue="112788.73999999999"/>
    </cacheField>
    <cacheField name="Discount_Violation" numFmtId="0">
      <sharedItems/>
    </cacheField>
    <cacheField name="Leakage_Flag" numFmtId="0">
      <sharedItems count="2">
        <s v="OK"/>
        <s v="LEAKAGE"/>
      </sharedItems>
    </cacheField>
    <cacheField name="Leakage_Reason" numFmtId="0">
      <sharedItems count="3">
        <s v="No Issue"/>
        <s v="Billing Error"/>
        <s v="Excess Discount"/>
      </sharedItems>
    </cacheField>
    <cacheField name="Days (Order_Date)" numFmtId="0" databaseField="0">
      <fieldGroup base="1">
        <rangePr groupBy="days" startDate="2024-01-01T00:00:00" endDate="2024-06-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4"/>
        </groupItems>
      </fieldGroup>
    </cacheField>
    <cacheField name="Months (Order_Date)" numFmtId="0" databaseField="0">
      <fieldGroup base="1">
        <rangePr groupBy="months" startDate="2024-01-01T00:00:00" endDate="2024-06-30T00:00:00"/>
        <groupItems count="14">
          <s v="&lt;01-01-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258926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001"/>
    <x v="0"/>
    <x v="0"/>
    <x v="0"/>
    <x v="0"/>
    <x v="0"/>
    <x v="0"/>
    <n v="6000"/>
    <n v="14"/>
    <n v="15"/>
    <n v="5"/>
    <n v="73467"/>
    <n v="72263.240000000005"/>
    <n v="1203.7599999999948"/>
    <s v="NO"/>
    <x v="0"/>
    <x v="0"/>
  </r>
  <r>
    <s v="ORD00002"/>
    <x v="1"/>
    <x v="0"/>
    <x v="1"/>
    <x v="1"/>
    <x v="1"/>
    <x v="1"/>
    <n v="1800"/>
    <n v="15"/>
    <n v="15"/>
    <n v="10"/>
    <n v="22950"/>
    <n v="22706.1"/>
    <n v="243.90000000000146"/>
    <s v="NO"/>
    <x v="1"/>
    <x v="1"/>
  </r>
  <r>
    <s v="ORD00003"/>
    <x v="1"/>
    <x v="1"/>
    <x v="2"/>
    <x v="2"/>
    <x v="1"/>
    <x v="2"/>
    <n v="1200"/>
    <n v="12"/>
    <n v="5"/>
    <n v="25"/>
    <n v="13680"/>
    <n v="12421.09"/>
    <n v="1258.9099999999999"/>
    <s v="YES"/>
    <x v="1"/>
    <x v="2"/>
  </r>
  <r>
    <s v="ORD00004"/>
    <x v="2"/>
    <x v="0"/>
    <x v="3"/>
    <x v="3"/>
    <x v="1"/>
    <x v="3"/>
    <n v="500"/>
    <n v="8"/>
    <n v="10"/>
    <n v="0"/>
    <n v="3600"/>
    <n v="3374.04"/>
    <n v="225.96000000000004"/>
    <s v="NO"/>
    <x v="1"/>
    <x v="1"/>
  </r>
  <r>
    <s v="ORD00005"/>
    <x v="3"/>
    <x v="1"/>
    <x v="3"/>
    <x v="4"/>
    <x v="2"/>
    <x v="4"/>
    <n v="15000"/>
    <n v="13"/>
    <n v="10"/>
    <n v="5"/>
    <n v="185500"/>
    <n v="176716.31"/>
    <n v="8783.6900000000023"/>
    <s v="NO"/>
    <x v="0"/>
    <x v="0"/>
  </r>
  <r>
    <s v="ORD00006"/>
    <x v="4"/>
    <x v="2"/>
    <x v="1"/>
    <x v="5"/>
    <x v="0"/>
    <x v="5"/>
    <n v="4500"/>
    <n v="1"/>
    <n v="5"/>
    <n v="25"/>
    <n v="4275"/>
    <n v="3737.3"/>
    <n v="537.69999999999982"/>
    <s v="YES"/>
    <x v="1"/>
    <x v="2"/>
  </r>
  <r>
    <s v="ORD00007"/>
    <x v="5"/>
    <x v="3"/>
    <x v="2"/>
    <x v="6"/>
    <x v="2"/>
    <x v="6"/>
    <n v="4500"/>
    <n v="2"/>
    <n v="5"/>
    <n v="20"/>
    <n v="8550"/>
    <n v="8599.59"/>
    <n v="-49.590000000000146"/>
    <s v="YES"/>
    <x v="0"/>
    <x v="2"/>
  </r>
  <r>
    <s v="ORD00008"/>
    <x v="6"/>
    <x v="2"/>
    <x v="3"/>
    <x v="7"/>
    <x v="2"/>
    <x v="7"/>
    <n v="18000"/>
    <n v="13"/>
    <n v="5"/>
    <n v="25"/>
    <n v="222300"/>
    <n v="228969.61"/>
    <n v="-6669.609999999986"/>
    <s v="YES"/>
    <x v="0"/>
    <x v="2"/>
  </r>
  <r>
    <s v="ORD00009"/>
    <x v="7"/>
    <x v="0"/>
    <x v="0"/>
    <x v="4"/>
    <x v="2"/>
    <x v="4"/>
    <n v="15000"/>
    <n v="3"/>
    <n v="5"/>
    <n v="25"/>
    <n v="42750"/>
    <n v="39688.49"/>
    <n v="3061.510000000002"/>
    <s v="YES"/>
    <x v="1"/>
    <x v="2"/>
  </r>
  <r>
    <s v="ORD00010"/>
    <x v="8"/>
    <x v="3"/>
    <x v="2"/>
    <x v="8"/>
    <x v="1"/>
    <x v="3"/>
    <n v="2800"/>
    <n v="1"/>
    <n v="10"/>
    <n v="20"/>
    <n v="2520"/>
    <n v="2213.63"/>
    <n v="306.36999999999989"/>
    <s v="YES"/>
    <x v="1"/>
    <x v="2"/>
  </r>
  <r>
    <s v="ORD00011"/>
    <x v="9"/>
    <x v="3"/>
    <x v="2"/>
    <x v="9"/>
    <x v="3"/>
    <x v="8"/>
    <n v="4000"/>
    <n v="5"/>
    <n v="15"/>
    <n v="20"/>
    <n v="17000"/>
    <n v="16865.169999999998"/>
    <n v="134.83000000000175"/>
    <s v="YES"/>
    <x v="1"/>
    <x v="2"/>
  </r>
  <r>
    <s v="ORD00012"/>
    <x v="10"/>
    <x v="0"/>
    <x v="2"/>
    <x v="10"/>
    <x v="1"/>
    <x v="9"/>
    <n v="1200"/>
    <n v="6"/>
    <n v="15"/>
    <n v="5"/>
    <n v="6120"/>
    <n v="5332.16"/>
    <n v="787.84000000000015"/>
    <s v="NO"/>
    <x v="1"/>
    <x v="1"/>
  </r>
  <r>
    <s v="ORD00013"/>
    <x v="11"/>
    <x v="3"/>
    <x v="4"/>
    <x v="11"/>
    <x v="0"/>
    <x v="10"/>
    <n v="60000"/>
    <n v="1"/>
    <n v="5"/>
    <n v="0"/>
    <n v="57000"/>
    <n v="54474.47"/>
    <n v="2525.5299999999988"/>
    <s v="NO"/>
    <x v="1"/>
    <x v="1"/>
  </r>
  <r>
    <s v="ORD00014"/>
    <x v="12"/>
    <x v="2"/>
    <x v="2"/>
    <x v="5"/>
    <x v="0"/>
    <x v="5"/>
    <n v="4500"/>
    <n v="8"/>
    <n v="5"/>
    <n v="15"/>
    <n v="34200"/>
    <n v="31322.9"/>
    <n v="2877.0999999999985"/>
    <s v="YES"/>
    <x v="1"/>
    <x v="2"/>
  </r>
  <r>
    <s v="ORD00015"/>
    <x v="13"/>
    <x v="3"/>
    <x v="4"/>
    <x v="12"/>
    <x v="4"/>
    <x v="11"/>
    <n v="8000"/>
    <n v="3"/>
    <n v="15"/>
    <n v="20"/>
    <n v="20400"/>
    <n v="18698.71"/>
    <n v="1701.2900000000009"/>
    <s v="YES"/>
    <x v="1"/>
    <x v="2"/>
  </r>
  <r>
    <s v="ORD00016"/>
    <x v="14"/>
    <x v="0"/>
    <x v="4"/>
    <x v="12"/>
    <x v="4"/>
    <x v="11"/>
    <n v="8000"/>
    <n v="9"/>
    <n v="5"/>
    <n v="20"/>
    <n v="68400"/>
    <n v="61972.31"/>
    <n v="6427.6900000000023"/>
    <s v="YES"/>
    <x v="1"/>
    <x v="2"/>
  </r>
  <r>
    <s v="ORD00017"/>
    <x v="15"/>
    <x v="2"/>
    <x v="4"/>
    <x v="5"/>
    <x v="0"/>
    <x v="5"/>
    <n v="4500"/>
    <n v="4"/>
    <n v="15"/>
    <n v="0"/>
    <n v="15300"/>
    <n v="14310.05"/>
    <n v="989.95000000000073"/>
    <s v="NO"/>
    <x v="1"/>
    <x v="1"/>
  </r>
  <r>
    <s v="ORD00018"/>
    <x v="16"/>
    <x v="2"/>
    <x v="1"/>
    <x v="13"/>
    <x v="0"/>
    <x v="12"/>
    <n v="8000"/>
    <n v="5"/>
    <n v="15"/>
    <n v="20"/>
    <n v="34000"/>
    <n v="34104.36"/>
    <n v="-104.36000000000058"/>
    <s v="YES"/>
    <x v="0"/>
    <x v="2"/>
  </r>
  <r>
    <s v="ORD00019"/>
    <x v="17"/>
    <x v="3"/>
    <x v="3"/>
    <x v="1"/>
    <x v="1"/>
    <x v="1"/>
    <n v="1800"/>
    <n v="13"/>
    <n v="10"/>
    <n v="25"/>
    <n v="21060"/>
    <n v="18408.98"/>
    <n v="2651.0200000000004"/>
    <s v="YES"/>
    <x v="1"/>
    <x v="2"/>
  </r>
  <r>
    <s v="ORD00020"/>
    <x v="18"/>
    <x v="3"/>
    <x v="0"/>
    <x v="11"/>
    <x v="0"/>
    <x v="10"/>
    <n v="60000"/>
    <n v="4"/>
    <n v="15"/>
    <n v="10"/>
    <n v="204000"/>
    <n v="190870.17"/>
    <n v="13129.829999999987"/>
    <s v="NO"/>
    <x v="1"/>
    <x v="1"/>
  </r>
  <r>
    <s v="ORD00021"/>
    <x v="3"/>
    <x v="3"/>
    <x v="4"/>
    <x v="7"/>
    <x v="2"/>
    <x v="7"/>
    <n v="18000"/>
    <n v="14"/>
    <n v="5"/>
    <n v="0"/>
    <n v="239400"/>
    <n v="236621.48"/>
    <n v="2778.5199999999895"/>
    <s v="NO"/>
    <x v="1"/>
    <x v="1"/>
  </r>
  <r>
    <s v="ORD00022"/>
    <x v="19"/>
    <x v="2"/>
    <x v="0"/>
    <x v="8"/>
    <x v="1"/>
    <x v="3"/>
    <n v="2800"/>
    <n v="3"/>
    <n v="5"/>
    <n v="5"/>
    <n v="7980"/>
    <n v="7215.49"/>
    <n v="764.51000000000022"/>
    <s v="NO"/>
    <x v="1"/>
    <x v="1"/>
  </r>
  <r>
    <s v="ORD00023"/>
    <x v="20"/>
    <x v="1"/>
    <x v="1"/>
    <x v="10"/>
    <x v="1"/>
    <x v="9"/>
    <n v="1200"/>
    <n v="7"/>
    <n v="15"/>
    <n v="0"/>
    <n v="7140"/>
    <n v="6248.56"/>
    <n v="891.4399999999996"/>
    <s v="NO"/>
    <x v="1"/>
    <x v="1"/>
  </r>
  <r>
    <s v="ORD00024"/>
    <x v="4"/>
    <x v="1"/>
    <x v="1"/>
    <x v="7"/>
    <x v="2"/>
    <x v="7"/>
    <n v="18000"/>
    <n v="9"/>
    <n v="10"/>
    <n v="15"/>
    <n v="145800"/>
    <n v="134576.70000000001"/>
    <n v="11223.299999999988"/>
    <s v="YES"/>
    <x v="1"/>
    <x v="2"/>
  </r>
  <r>
    <s v="ORD00025"/>
    <x v="21"/>
    <x v="3"/>
    <x v="2"/>
    <x v="14"/>
    <x v="1"/>
    <x v="2"/>
    <n v="6500"/>
    <n v="1"/>
    <n v="10"/>
    <n v="25"/>
    <n v="5850"/>
    <n v="5924.33"/>
    <n v="-74.329999999999927"/>
    <s v="YES"/>
    <x v="0"/>
    <x v="2"/>
  </r>
  <r>
    <s v="ORD00026"/>
    <x v="22"/>
    <x v="0"/>
    <x v="5"/>
    <x v="13"/>
    <x v="0"/>
    <x v="12"/>
    <n v="8000"/>
    <n v="5"/>
    <n v="5"/>
    <n v="15"/>
    <n v="38000"/>
    <n v="35176.44"/>
    <n v="2823.5599999999977"/>
    <s v="YES"/>
    <x v="1"/>
    <x v="2"/>
  </r>
  <r>
    <s v="ORD00027"/>
    <x v="23"/>
    <x v="3"/>
    <x v="2"/>
    <x v="12"/>
    <x v="4"/>
    <x v="11"/>
    <n v="8000"/>
    <n v="7"/>
    <n v="5"/>
    <n v="20"/>
    <n v="53200"/>
    <n v="45596.04"/>
    <n v="7603.9599999999991"/>
    <s v="YES"/>
    <x v="1"/>
    <x v="2"/>
  </r>
  <r>
    <s v="ORD00028"/>
    <x v="24"/>
    <x v="1"/>
    <x v="3"/>
    <x v="14"/>
    <x v="1"/>
    <x v="2"/>
    <n v="6500"/>
    <n v="6"/>
    <n v="10"/>
    <n v="20"/>
    <n v="35100"/>
    <n v="30555.23"/>
    <n v="4544.7700000000004"/>
    <s v="YES"/>
    <x v="1"/>
    <x v="2"/>
  </r>
  <r>
    <s v="ORD00029"/>
    <x v="25"/>
    <x v="0"/>
    <x v="1"/>
    <x v="13"/>
    <x v="0"/>
    <x v="12"/>
    <n v="8000"/>
    <n v="11"/>
    <n v="5"/>
    <n v="10"/>
    <n v="83600"/>
    <n v="77794.600000000006"/>
    <n v="5805.3999999999942"/>
    <s v="YES"/>
    <x v="1"/>
    <x v="2"/>
  </r>
  <r>
    <s v="ORD00030"/>
    <x v="26"/>
    <x v="2"/>
    <x v="0"/>
    <x v="4"/>
    <x v="2"/>
    <x v="4"/>
    <n v="15000"/>
    <n v="11"/>
    <n v="10"/>
    <n v="10"/>
    <n v="148500"/>
    <n v="130601.82"/>
    <n v="17898.179999999993"/>
    <s v="NO"/>
    <x v="1"/>
    <x v="1"/>
  </r>
  <r>
    <s v="ORD00031"/>
    <x v="27"/>
    <x v="0"/>
    <x v="2"/>
    <x v="12"/>
    <x v="4"/>
    <x v="11"/>
    <n v="8000"/>
    <n v="6"/>
    <n v="15"/>
    <n v="25"/>
    <n v="40800"/>
    <n v="35512.050000000003"/>
    <n v="5287.9499999999971"/>
    <s v="YES"/>
    <x v="1"/>
    <x v="2"/>
  </r>
  <r>
    <s v="ORD00032"/>
    <x v="2"/>
    <x v="2"/>
    <x v="3"/>
    <x v="1"/>
    <x v="1"/>
    <x v="1"/>
    <n v="1800"/>
    <n v="4"/>
    <n v="5"/>
    <n v="10"/>
    <n v="6840"/>
    <n v="5855.76"/>
    <n v="984.23999999999978"/>
    <s v="YES"/>
    <x v="1"/>
    <x v="2"/>
  </r>
  <r>
    <s v="ORD00033"/>
    <x v="28"/>
    <x v="0"/>
    <x v="3"/>
    <x v="15"/>
    <x v="2"/>
    <x v="6"/>
    <n v="2500"/>
    <n v="7"/>
    <n v="5"/>
    <n v="0"/>
    <n v="16625"/>
    <n v="14907.81"/>
    <n v="1717.1900000000005"/>
    <s v="NO"/>
    <x v="1"/>
    <x v="1"/>
  </r>
  <r>
    <s v="ORD00034"/>
    <x v="29"/>
    <x v="0"/>
    <x v="1"/>
    <x v="16"/>
    <x v="1"/>
    <x v="3"/>
    <n v="1500"/>
    <n v="3"/>
    <n v="5"/>
    <n v="0"/>
    <n v="4275"/>
    <n v="4120.03"/>
    <n v="154.97000000000025"/>
    <s v="NO"/>
    <x v="1"/>
    <x v="1"/>
  </r>
  <r>
    <s v="ORD00035"/>
    <x v="30"/>
    <x v="1"/>
    <x v="0"/>
    <x v="17"/>
    <x v="1"/>
    <x v="1"/>
    <n v="1200"/>
    <n v="13"/>
    <n v="10"/>
    <n v="20"/>
    <n v="14040"/>
    <n v="13842.85"/>
    <n v="197.14999999999964"/>
    <s v="YES"/>
    <x v="1"/>
    <x v="2"/>
  </r>
  <r>
    <s v="ORD00036"/>
    <x v="31"/>
    <x v="0"/>
    <x v="4"/>
    <x v="3"/>
    <x v="1"/>
    <x v="3"/>
    <n v="500"/>
    <n v="8"/>
    <n v="15"/>
    <n v="0"/>
    <n v="3400"/>
    <n v="3195.24"/>
    <n v="204.76000000000022"/>
    <s v="NO"/>
    <x v="1"/>
    <x v="1"/>
  </r>
  <r>
    <s v="ORD00037"/>
    <x v="23"/>
    <x v="0"/>
    <x v="4"/>
    <x v="18"/>
    <x v="5"/>
    <x v="13"/>
    <n v="18000"/>
    <n v="14"/>
    <n v="10"/>
    <n v="25"/>
    <n v="226800"/>
    <n v="201958.58"/>
    <n v="24841.420000000013"/>
    <s v="YES"/>
    <x v="1"/>
    <x v="2"/>
  </r>
  <r>
    <s v="ORD00038"/>
    <x v="32"/>
    <x v="2"/>
    <x v="0"/>
    <x v="3"/>
    <x v="1"/>
    <x v="3"/>
    <n v="500"/>
    <n v="3"/>
    <n v="15"/>
    <n v="5"/>
    <n v="1275"/>
    <n v="1165.22"/>
    <n v="109.77999999999997"/>
    <s v="NO"/>
    <x v="1"/>
    <x v="1"/>
  </r>
  <r>
    <s v="ORD00039"/>
    <x v="33"/>
    <x v="1"/>
    <x v="3"/>
    <x v="0"/>
    <x v="0"/>
    <x v="0"/>
    <n v="6000"/>
    <n v="14"/>
    <n v="5"/>
    <n v="10"/>
    <n v="79800"/>
    <n v="68346.92"/>
    <n v="11453.080000000002"/>
    <s v="YES"/>
    <x v="1"/>
    <x v="2"/>
  </r>
  <r>
    <s v="ORD00040"/>
    <x v="34"/>
    <x v="2"/>
    <x v="3"/>
    <x v="0"/>
    <x v="0"/>
    <x v="0"/>
    <n v="6000"/>
    <n v="7"/>
    <n v="15"/>
    <n v="15"/>
    <n v="35700"/>
    <n v="36499.17"/>
    <n v="-799.16999999999825"/>
    <s v="NO"/>
    <x v="0"/>
    <x v="0"/>
  </r>
  <r>
    <s v="ORD00041"/>
    <x v="35"/>
    <x v="1"/>
    <x v="1"/>
    <x v="3"/>
    <x v="1"/>
    <x v="3"/>
    <n v="500"/>
    <n v="10"/>
    <n v="5"/>
    <n v="0"/>
    <n v="4750"/>
    <n v="4109.29"/>
    <n v="640.71"/>
    <s v="NO"/>
    <x v="1"/>
    <x v="1"/>
  </r>
  <r>
    <s v="ORD00042"/>
    <x v="36"/>
    <x v="3"/>
    <x v="2"/>
    <x v="3"/>
    <x v="1"/>
    <x v="3"/>
    <n v="500"/>
    <n v="7"/>
    <n v="5"/>
    <n v="10"/>
    <n v="3325"/>
    <n v="2851.22"/>
    <n v="473.7800000000002"/>
    <s v="YES"/>
    <x v="1"/>
    <x v="2"/>
  </r>
  <r>
    <s v="ORD00043"/>
    <x v="37"/>
    <x v="1"/>
    <x v="0"/>
    <x v="0"/>
    <x v="0"/>
    <x v="0"/>
    <n v="6000"/>
    <n v="9"/>
    <n v="5"/>
    <n v="5"/>
    <n v="51300"/>
    <n v="49326.75"/>
    <n v="1973.25"/>
    <s v="NO"/>
    <x v="1"/>
    <x v="1"/>
  </r>
  <r>
    <s v="ORD00044"/>
    <x v="30"/>
    <x v="0"/>
    <x v="0"/>
    <x v="17"/>
    <x v="1"/>
    <x v="1"/>
    <n v="1200"/>
    <n v="1"/>
    <n v="10"/>
    <n v="20"/>
    <n v="1080"/>
    <n v="920.21"/>
    <n v="159.78999999999996"/>
    <s v="YES"/>
    <x v="1"/>
    <x v="2"/>
  </r>
  <r>
    <s v="ORD00045"/>
    <x v="12"/>
    <x v="0"/>
    <x v="0"/>
    <x v="2"/>
    <x v="1"/>
    <x v="2"/>
    <n v="1200"/>
    <n v="8"/>
    <n v="15"/>
    <n v="20"/>
    <n v="8160"/>
    <n v="8526"/>
    <n v="-366"/>
    <s v="YES"/>
    <x v="0"/>
    <x v="2"/>
  </r>
  <r>
    <s v="ORD00046"/>
    <x v="38"/>
    <x v="0"/>
    <x v="5"/>
    <x v="18"/>
    <x v="5"/>
    <x v="13"/>
    <n v="18000"/>
    <n v="9"/>
    <n v="15"/>
    <n v="25"/>
    <n v="137700"/>
    <n v="117339.55"/>
    <n v="20360.449999999997"/>
    <s v="YES"/>
    <x v="1"/>
    <x v="2"/>
  </r>
  <r>
    <s v="ORD00047"/>
    <x v="39"/>
    <x v="3"/>
    <x v="4"/>
    <x v="9"/>
    <x v="3"/>
    <x v="8"/>
    <n v="4000"/>
    <n v="15"/>
    <n v="10"/>
    <n v="10"/>
    <n v="54000"/>
    <n v="53633.24"/>
    <n v="366.76000000000204"/>
    <s v="NO"/>
    <x v="1"/>
    <x v="1"/>
  </r>
  <r>
    <s v="ORD00048"/>
    <x v="40"/>
    <x v="3"/>
    <x v="4"/>
    <x v="8"/>
    <x v="1"/>
    <x v="3"/>
    <n v="2800"/>
    <n v="2"/>
    <n v="15"/>
    <n v="10"/>
    <n v="4760"/>
    <n v="4991.54"/>
    <n v="-231.53999999999996"/>
    <s v="NO"/>
    <x v="0"/>
    <x v="0"/>
  </r>
  <r>
    <s v="ORD00049"/>
    <x v="41"/>
    <x v="3"/>
    <x v="2"/>
    <x v="5"/>
    <x v="0"/>
    <x v="5"/>
    <n v="4500"/>
    <n v="10"/>
    <n v="10"/>
    <n v="5"/>
    <n v="40500"/>
    <n v="39787.879999999997"/>
    <n v="712.12000000000262"/>
    <s v="NO"/>
    <x v="1"/>
    <x v="1"/>
  </r>
  <r>
    <s v="ORD00050"/>
    <x v="42"/>
    <x v="1"/>
    <x v="2"/>
    <x v="8"/>
    <x v="1"/>
    <x v="3"/>
    <n v="2800"/>
    <n v="13"/>
    <n v="10"/>
    <n v="0"/>
    <n v="32760"/>
    <n v="28195.55"/>
    <n v="4564.4500000000007"/>
    <s v="NO"/>
    <x v="1"/>
    <x v="1"/>
  </r>
  <r>
    <s v="ORD00051"/>
    <x v="43"/>
    <x v="0"/>
    <x v="1"/>
    <x v="4"/>
    <x v="2"/>
    <x v="4"/>
    <n v="15000"/>
    <n v="14"/>
    <n v="15"/>
    <n v="15"/>
    <n v="178500"/>
    <n v="187186.64"/>
    <n v="-8686.640000000014"/>
    <s v="NO"/>
    <x v="0"/>
    <x v="0"/>
  </r>
  <r>
    <s v="ORD00052"/>
    <x v="34"/>
    <x v="0"/>
    <x v="5"/>
    <x v="11"/>
    <x v="0"/>
    <x v="10"/>
    <n v="60000"/>
    <n v="3"/>
    <n v="5"/>
    <n v="10"/>
    <n v="171000"/>
    <n v="163051"/>
    <n v="7949"/>
    <s v="YES"/>
    <x v="1"/>
    <x v="2"/>
  </r>
  <r>
    <s v="ORD00053"/>
    <x v="44"/>
    <x v="1"/>
    <x v="5"/>
    <x v="1"/>
    <x v="1"/>
    <x v="1"/>
    <n v="1800"/>
    <n v="5"/>
    <n v="5"/>
    <n v="10"/>
    <n v="8550"/>
    <n v="8337.7000000000007"/>
    <n v="212.29999999999927"/>
    <s v="YES"/>
    <x v="1"/>
    <x v="2"/>
  </r>
  <r>
    <s v="ORD00054"/>
    <x v="45"/>
    <x v="1"/>
    <x v="2"/>
    <x v="2"/>
    <x v="1"/>
    <x v="2"/>
    <n v="1200"/>
    <n v="9"/>
    <n v="15"/>
    <n v="20"/>
    <n v="9180"/>
    <n v="7958.71"/>
    <n v="1221.29"/>
    <s v="YES"/>
    <x v="1"/>
    <x v="2"/>
  </r>
  <r>
    <s v="ORD00055"/>
    <x v="46"/>
    <x v="1"/>
    <x v="5"/>
    <x v="8"/>
    <x v="1"/>
    <x v="3"/>
    <n v="2800"/>
    <n v="10"/>
    <n v="15"/>
    <n v="20"/>
    <n v="23800"/>
    <n v="22106.95"/>
    <n v="1693.0499999999993"/>
    <s v="YES"/>
    <x v="1"/>
    <x v="2"/>
  </r>
  <r>
    <s v="ORD00056"/>
    <x v="47"/>
    <x v="3"/>
    <x v="5"/>
    <x v="19"/>
    <x v="0"/>
    <x v="12"/>
    <n v="3500"/>
    <n v="1"/>
    <n v="5"/>
    <n v="5"/>
    <n v="3325"/>
    <n v="3263.81"/>
    <n v="61.190000000000055"/>
    <s v="NO"/>
    <x v="1"/>
    <x v="1"/>
  </r>
  <r>
    <s v="ORD00057"/>
    <x v="34"/>
    <x v="3"/>
    <x v="1"/>
    <x v="4"/>
    <x v="2"/>
    <x v="4"/>
    <n v="15000"/>
    <n v="7"/>
    <n v="5"/>
    <n v="10"/>
    <n v="99750"/>
    <n v="91208.92"/>
    <n v="8541.0800000000017"/>
    <s v="YES"/>
    <x v="1"/>
    <x v="2"/>
  </r>
  <r>
    <s v="ORD00058"/>
    <x v="48"/>
    <x v="1"/>
    <x v="0"/>
    <x v="2"/>
    <x v="1"/>
    <x v="2"/>
    <n v="1200"/>
    <n v="5"/>
    <n v="5"/>
    <n v="0"/>
    <n v="5700"/>
    <n v="5940.36"/>
    <n v="-240.35999999999967"/>
    <s v="NO"/>
    <x v="0"/>
    <x v="0"/>
  </r>
  <r>
    <s v="ORD00059"/>
    <x v="43"/>
    <x v="1"/>
    <x v="2"/>
    <x v="0"/>
    <x v="0"/>
    <x v="0"/>
    <n v="6000"/>
    <n v="11"/>
    <n v="10"/>
    <n v="0"/>
    <n v="59400"/>
    <n v="59461.62"/>
    <n v="-61.620000000002619"/>
    <s v="NO"/>
    <x v="0"/>
    <x v="0"/>
  </r>
  <r>
    <s v="ORD00060"/>
    <x v="49"/>
    <x v="0"/>
    <x v="4"/>
    <x v="13"/>
    <x v="0"/>
    <x v="12"/>
    <n v="8000"/>
    <n v="8"/>
    <n v="10"/>
    <n v="10"/>
    <n v="57600"/>
    <n v="58517.68"/>
    <n v="-917.68000000000029"/>
    <s v="NO"/>
    <x v="0"/>
    <x v="0"/>
  </r>
  <r>
    <s v="ORD00061"/>
    <x v="50"/>
    <x v="3"/>
    <x v="2"/>
    <x v="11"/>
    <x v="0"/>
    <x v="10"/>
    <n v="60000"/>
    <n v="12"/>
    <n v="10"/>
    <n v="25"/>
    <n v="648000"/>
    <n v="612143.92000000004"/>
    <n v="35856.079999999958"/>
    <s v="YES"/>
    <x v="1"/>
    <x v="2"/>
  </r>
  <r>
    <s v="ORD00062"/>
    <x v="39"/>
    <x v="2"/>
    <x v="5"/>
    <x v="5"/>
    <x v="0"/>
    <x v="5"/>
    <n v="4500"/>
    <n v="10"/>
    <n v="15"/>
    <n v="25"/>
    <n v="38250"/>
    <n v="36782.620000000003"/>
    <n v="1467.3799999999974"/>
    <s v="YES"/>
    <x v="1"/>
    <x v="2"/>
  </r>
  <r>
    <s v="ORD00063"/>
    <x v="51"/>
    <x v="1"/>
    <x v="5"/>
    <x v="10"/>
    <x v="1"/>
    <x v="9"/>
    <n v="1200"/>
    <n v="14"/>
    <n v="15"/>
    <n v="20"/>
    <n v="14280"/>
    <n v="14058.61"/>
    <n v="221.38999999999942"/>
    <s v="YES"/>
    <x v="1"/>
    <x v="2"/>
  </r>
  <r>
    <s v="ORD00064"/>
    <x v="52"/>
    <x v="0"/>
    <x v="3"/>
    <x v="19"/>
    <x v="0"/>
    <x v="12"/>
    <n v="3500"/>
    <n v="14"/>
    <n v="5"/>
    <n v="15"/>
    <n v="46550"/>
    <n v="48646.79"/>
    <n v="-2096.7900000000009"/>
    <s v="YES"/>
    <x v="0"/>
    <x v="2"/>
  </r>
  <r>
    <s v="ORD00065"/>
    <x v="53"/>
    <x v="1"/>
    <x v="2"/>
    <x v="9"/>
    <x v="3"/>
    <x v="8"/>
    <n v="4000"/>
    <n v="14"/>
    <n v="10"/>
    <n v="0"/>
    <n v="50400"/>
    <n v="46016.63"/>
    <n v="4383.3700000000026"/>
    <s v="NO"/>
    <x v="1"/>
    <x v="1"/>
  </r>
  <r>
    <s v="ORD00066"/>
    <x v="54"/>
    <x v="1"/>
    <x v="3"/>
    <x v="20"/>
    <x v="6"/>
    <x v="14"/>
    <n v="12000"/>
    <n v="2"/>
    <n v="10"/>
    <n v="5"/>
    <n v="21600"/>
    <n v="19101.62"/>
    <n v="2498.380000000001"/>
    <s v="NO"/>
    <x v="1"/>
    <x v="1"/>
  </r>
  <r>
    <s v="ORD00067"/>
    <x v="20"/>
    <x v="2"/>
    <x v="5"/>
    <x v="3"/>
    <x v="1"/>
    <x v="3"/>
    <n v="500"/>
    <n v="10"/>
    <n v="15"/>
    <n v="0"/>
    <n v="4250"/>
    <n v="4186.03"/>
    <n v="63.970000000000255"/>
    <s v="NO"/>
    <x v="1"/>
    <x v="1"/>
  </r>
  <r>
    <s v="ORD00068"/>
    <x v="36"/>
    <x v="2"/>
    <x v="5"/>
    <x v="1"/>
    <x v="1"/>
    <x v="1"/>
    <n v="1800"/>
    <n v="2"/>
    <n v="5"/>
    <n v="25"/>
    <n v="3420"/>
    <n v="3014.71"/>
    <n v="405.28999999999996"/>
    <s v="YES"/>
    <x v="1"/>
    <x v="2"/>
  </r>
  <r>
    <s v="ORD00069"/>
    <x v="55"/>
    <x v="2"/>
    <x v="2"/>
    <x v="11"/>
    <x v="0"/>
    <x v="10"/>
    <n v="60000"/>
    <n v="4"/>
    <n v="10"/>
    <n v="25"/>
    <n v="216000"/>
    <n v="205763.05"/>
    <n v="10236.950000000012"/>
    <s v="YES"/>
    <x v="1"/>
    <x v="2"/>
  </r>
  <r>
    <s v="ORD00070"/>
    <x v="56"/>
    <x v="1"/>
    <x v="3"/>
    <x v="12"/>
    <x v="4"/>
    <x v="11"/>
    <n v="8000"/>
    <n v="5"/>
    <n v="5"/>
    <n v="20"/>
    <n v="38000"/>
    <n v="39596.58"/>
    <n v="-1596.5800000000017"/>
    <s v="YES"/>
    <x v="0"/>
    <x v="2"/>
  </r>
  <r>
    <s v="ORD00071"/>
    <x v="47"/>
    <x v="1"/>
    <x v="4"/>
    <x v="10"/>
    <x v="1"/>
    <x v="9"/>
    <n v="1200"/>
    <n v="13"/>
    <n v="10"/>
    <n v="0"/>
    <n v="14040"/>
    <n v="13264.39"/>
    <n v="775.61000000000058"/>
    <s v="NO"/>
    <x v="1"/>
    <x v="1"/>
  </r>
  <r>
    <s v="ORD00072"/>
    <x v="57"/>
    <x v="1"/>
    <x v="1"/>
    <x v="5"/>
    <x v="0"/>
    <x v="5"/>
    <n v="4500"/>
    <n v="8"/>
    <n v="15"/>
    <n v="20"/>
    <n v="30600"/>
    <n v="31982.76"/>
    <n v="-1382.7599999999984"/>
    <s v="YES"/>
    <x v="0"/>
    <x v="2"/>
  </r>
  <r>
    <s v="ORD00073"/>
    <x v="58"/>
    <x v="2"/>
    <x v="5"/>
    <x v="6"/>
    <x v="2"/>
    <x v="6"/>
    <n v="4500"/>
    <n v="15"/>
    <n v="5"/>
    <n v="10"/>
    <n v="64125"/>
    <n v="64769.79"/>
    <n v="-644.79000000000087"/>
    <s v="YES"/>
    <x v="0"/>
    <x v="2"/>
  </r>
  <r>
    <s v="ORD00074"/>
    <x v="59"/>
    <x v="0"/>
    <x v="4"/>
    <x v="21"/>
    <x v="6"/>
    <x v="14"/>
    <n v="3500"/>
    <n v="4"/>
    <n v="5"/>
    <n v="25"/>
    <n v="13300"/>
    <n v="12749.84"/>
    <n v="550.15999999999985"/>
    <s v="YES"/>
    <x v="1"/>
    <x v="2"/>
  </r>
  <r>
    <s v="ORD00075"/>
    <x v="9"/>
    <x v="3"/>
    <x v="1"/>
    <x v="5"/>
    <x v="0"/>
    <x v="5"/>
    <n v="4500"/>
    <n v="2"/>
    <n v="5"/>
    <n v="25"/>
    <n v="8550"/>
    <n v="7776.47"/>
    <n v="773.52999999999975"/>
    <s v="YES"/>
    <x v="1"/>
    <x v="2"/>
  </r>
  <r>
    <s v="ORD00076"/>
    <x v="22"/>
    <x v="2"/>
    <x v="3"/>
    <x v="16"/>
    <x v="1"/>
    <x v="3"/>
    <n v="1500"/>
    <n v="2"/>
    <n v="15"/>
    <n v="10"/>
    <n v="2550"/>
    <n v="2356.13"/>
    <n v="193.86999999999989"/>
    <s v="NO"/>
    <x v="1"/>
    <x v="1"/>
  </r>
  <r>
    <s v="ORD00077"/>
    <x v="60"/>
    <x v="0"/>
    <x v="4"/>
    <x v="22"/>
    <x v="0"/>
    <x v="10"/>
    <n v="35000"/>
    <n v="14"/>
    <n v="5"/>
    <n v="25"/>
    <n v="465500"/>
    <n v="441818.33"/>
    <n v="23681.669999999984"/>
    <s v="YES"/>
    <x v="1"/>
    <x v="2"/>
  </r>
  <r>
    <s v="ORD00078"/>
    <x v="61"/>
    <x v="0"/>
    <x v="5"/>
    <x v="5"/>
    <x v="0"/>
    <x v="5"/>
    <n v="4500"/>
    <n v="14"/>
    <n v="15"/>
    <n v="10"/>
    <n v="53550"/>
    <n v="51153.36"/>
    <n v="2396.6399999999994"/>
    <s v="NO"/>
    <x v="1"/>
    <x v="1"/>
  </r>
  <r>
    <s v="ORD00079"/>
    <x v="15"/>
    <x v="0"/>
    <x v="3"/>
    <x v="4"/>
    <x v="2"/>
    <x v="4"/>
    <n v="15000"/>
    <n v="12"/>
    <n v="15"/>
    <n v="20"/>
    <n v="153000"/>
    <n v="143451.78"/>
    <n v="9548.2200000000012"/>
    <s v="YES"/>
    <x v="1"/>
    <x v="2"/>
  </r>
  <r>
    <s v="ORD00080"/>
    <x v="62"/>
    <x v="1"/>
    <x v="2"/>
    <x v="14"/>
    <x v="1"/>
    <x v="2"/>
    <n v="6500"/>
    <n v="13"/>
    <n v="10"/>
    <n v="0"/>
    <n v="76050"/>
    <n v="76136.23"/>
    <n v="-86.229999999995925"/>
    <s v="NO"/>
    <x v="0"/>
    <x v="0"/>
  </r>
  <r>
    <s v="ORD00081"/>
    <x v="63"/>
    <x v="1"/>
    <x v="2"/>
    <x v="11"/>
    <x v="0"/>
    <x v="10"/>
    <n v="60000"/>
    <n v="11"/>
    <n v="5"/>
    <n v="5"/>
    <n v="627000"/>
    <n v="598629.42000000004"/>
    <n v="28370.579999999958"/>
    <s v="NO"/>
    <x v="1"/>
    <x v="1"/>
  </r>
  <r>
    <s v="ORD00082"/>
    <x v="64"/>
    <x v="3"/>
    <x v="5"/>
    <x v="5"/>
    <x v="0"/>
    <x v="5"/>
    <n v="4500"/>
    <n v="11"/>
    <n v="10"/>
    <n v="25"/>
    <n v="44550"/>
    <n v="44190.13"/>
    <n v="359.87000000000262"/>
    <s v="YES"/>
    <x v="1"/>
    <x v="2"/>
  </r>
  <r>
    <s v="ORD00083"/>
    <x v="65"/>
    <x v="0"/>
    <x v="5"/>
    <x v="4"/>
    <x v="2"/>
    <x v="4"/>
    <n v="15000"/>
    <n v="5"/>
    <n v="10"/>
    <n v="5"/>
    <n v="67500"/>
    <n v="61790.559999999998"/>
    <n v="5709.4400000000023"/>
    <s v="NO"/>
    <x v="1"/>
    <x v="1"/>
  </r>
  <r>
    <s v="ORD00084"/>
    <x v="66"/>
    <x v="0"/>
    <x v="4"/>
    <x v="21"/>
    <x v="6"/>
    <x v="14"/>
    <n v="3500"/>
    <n v="5"/>
    <n v="5"/>
    <n v="10"/>
    <n v="16625"/>
    <n v="16102.5"/>
    <n v="522.5"/>
    <s v="YES"/>
    <x v="1"/>
    <x v="2"/>
  </r>
  <r>
    <s v="ORD00085"/>
    <x v="15"/>
    <x v="1"/>
    <x v="0"/>
    <x v="1"/>
    <x v="1"/>
    <x v="1"/>
    <n v="1800"/>
    <n v="6"/>
    <n v="5"/>
    <n v="15"/>
    <n v="10260"/>
    <n v="10552.64"/>
    <n v="-292.63999999999942"/>
    <s v="YES"/>
    <x v="0"/>
    <x v="2"/>
  </r>
  <r>
    <s v="ORD00086"/>
    <x v="67"/>
    <x v="1"/>
    <x v="1"/>
    <x v="8"/>
    <x v="1"/>
    <x v="3"/>
    <n v="2800"/>
    <n v="2"/>
    <n v="15"/>
    <n v="15"/>
    <n v="4760"/>
    <n v="4858.9399999999996"/>
    <n v="-98.9399999999996"/>
    <s v="NO"/>
    <x v="0"/>
    <x v="0"/>
  </r>
  <r>
    <s v="ORD00087"/>
    <x v="68"/>
    <x v="3"/>
    <x v="1"/>
    <x v="4"/>
    <x v="2"/>
    <x v="4"/>
    <n v="15000"/>
    <n v="8"/>
    <n v="15"/>
    <n v="20"/>
    <n v="102000"/>
    <n v="105108.28"/>
    <n v="-3108.2799999999988"/>
    <s v="YES"/>
    <x v="0"/>
    <x v="2"/>
  </r>
  <r>
    <s v="ORD00088"/>
    <x v="69"/>
    <x v="2"/>
    <x v="1"/>
    <x v="23"/>
    <x v="0"/>
    <x v="12"/>
    <n v="7000"/>
    <n v="11"/>
    <n v="10"/>
    <n v="0"/>
    <n v="69300"/>
    <n v="72288.55"/>
    <n v="-2988.5500000000029"/>
    <s v="NO"/>
    <x v="0"/>
    <x v="0"/>
  </r>
  <r>
    <s v="ORD00089"/>
    <x v="70"/>
    <x v="0"/>
    <x v="0"/>
    <x v="9"/>
    <x v="3"/>
    <x v="8"/>
    <n v="4000"/>
    <n v="4"/>
    <n v="5"/>
    <n v="0"/>
    <n v="15200"/>
    <n v="14788.75"/>
    <n v="411.25"/>
    <s v="NO"/>
    <x v="1"/>
    <x v="1"/>
  </r>
  <r>
    <s v="ORD00090"/>
    <x v="71"/>
    <x v="3"/>
    <x v="1"/>
    <x v="19"/>
    <x v="0"/>
    <x v="12"/>
    <n v="3500"/>
    <n v="3"/>
    <n v="10"/>
    <n v="0"/>
    <n v="9450"/>
    <n v="9125.01"/>
    <n v="324.98999999999978"/>
    <s v="NO"/>
    <x v="1"/>
    <x v="1"/>
  </r>
  <r>
    <s v="ORD00091"/>
    <x v="72"/>
    <x v="1"/>
    <x v="3"/>
    <x v="9"/>
    <x v="3"/>
    <x v="8"/>
    <n v="4000"/>
    <n v="2"/>
    <n v="5"/>
    <n v="5"/>
    <n v="7600"/>
    <n v="7206.44"/>
    <n v="393.5600000000004"/>
    <s v="NO"/>
    <x v="1"/>
    <x v="1"/>
  </r>
  <r>
    <s v="ORD00092"/>
    <x v="3"/>
    <x v="3"/>
    <x v="0"/>
    <x v="13"/>
    <x v="0"/>
    <x v="12"/>
    <n v="8000"/>
    <n v="8"/>
    <n v="15"/>
    <n v="0"/>
    <n v="54400"/>
    <n v="54672.12"/>
    <n v="-272.12000000000262"/>
    <s v="NO"/>
    <x v="0"/>
    <x v="0"/>
  </r>
  <r>
    <s v="ORD00093"/>
    <x v="73"/>
    <x v="1"/>
    <x v="3"/>
    <x v="19"/>
    <x v="0"/>
    <x v="12"/>
    <n v="3500"/>
    <n v="3"/>
    <n v="5"/>
    <n v="0"/>
    <n v="9975"/>
    <n v="10056.66"/>
    <n v="-81.659999999999854"/>
    <s v="NO"/>
    <x v="0"/>
    <x v="0"/>
  </r>
  <r>
    <s v="ORD00094"/>
    <x v="31"/>
    <x v="3"/>
    <x v="5"/>
    <x v="15"/>
    <x v="2"/>
    <x v="6"/>
    <n v="2500"/>
    <n v="12"/>
    <n v="10"/>
    <n v="0"/>
    <n v="27000"/>
    <n v="25732.78"/>
    <n v="1267.2200000000012"/>
    <s v="NO"/>
    <x v="1"/>
    <x v="1"/>
  </r>
  <r>
    <s v="ORD00095"/>
    <x v="62"/>
    <x v="2"/>
    <x v="2"/>
    <x v="21"/>
    <x v="6"/>
    <x v="14"/>
    <n v="3500"/>
    <n v="13"/>
    <n v="15"/>
    <n v="25"/>
    <n v="38675"/>
    <n v="39639.78"/>
    <n v="-964.77999999999884"/>
    <s v="YES"/>
    <x v="0"/>
    <x v="2"/>
  </r>
  <r>
    <s v="ORD00096"/>
    <x v="74"/>
    <x v="2"/>
    <x v="4"/>
    <x v="11"/>
    <x v="0"/>
    <x v="10"/>
    <n v="60000"/>
    <n v="12"/>
    <n v="10"/>
    <n v="10"/>
    <n v="648000"/>
    <n v="641778.84"/>
    <n v="6221.1600000000326"/>
    <s v="NO"/>
    <x v="1"/>
    <x v="1"/>
  </r>
  <r>
    <s v="ORD00097"/>
    <x v="75"/>
    <x v="3"/>
    <x v="3"/>
    <x v="15"/>
    <x v="2"/>
    <x v="6"/>
    <n v="2500"/>
    <n v="11"/>
    <n v="10"/>
    <n v="25"/>
    <n v="24750"/>
    <n v="24351.09"/>
    <n v="398.90999999999985"/>
    <s v="YES"/>
    <x v="1"/>
    <x v="2"/>
  </r>
  <r>
    <s v="ORD00098"/>
    <x v="76"/>
    <x v="1"/>
    <x v="2"/>
    <x v="12"/>
    <x v="4"/>
    <x v="11"/>
    <n v="8000"/>
    <n v="12"/>
    <n v="5"/>
    <n v="25"/>
    <n v="91200"/>
    <n v="78674.09"/>
    <n v="12525.910000000003"/>
    <s v="YES"/>
    <x v="1"/>
    <x v="2"/>
  </r>
  <r>
    <s v="ORD00099"/>
    <x v="77"/>
    <x v="3"/>
    <x v="4"/>
    <x v="20"/>
    <x v="6"/>
    <x v="14"/>
    <n v="12000"/>
    <n v="4"/>
    <n v="15"/>
    <n v="0"/>
    <n v="40800"/>
    <n v="42448.39"/>
    <n v="-1648.3899999999994"/>
    <s v="NO"/>
    <x v="0"/>
    <x v="0"/>
  </r>
  <r>
    <s v="ORD00100"/>
    <x v="15"/>
    <x v="0"/>
    <x v="0"/>
    <x v="3"/>
    <x v="1"/>
    <x v="3"/>
    <n v="500"/>
    <n v="8"/>
    <n v="10"/>
    <n v="5"/>
    <n v="3600"/>
    <n v="3434.41"/>
    <n v="165.59000000000015"/>
    <s v="NO"/>
    <x v="1"/>
    <x v="1"/>
  </r>
  <r>
    <s v="ORD00101"/>
    <x v="22"/>
    <x v="3"/>
    <x v="3"/>
    <x v="23"/>
    <x v="0"/>
    <x v="12"/>
    <n v="7000"/>
    <n v="3"/>
    <n v="10"/>
    <n v="5"/>
    <n v="18900"/>
    <n v="19252.32"/>
    <n v="-352.31999999999971"/>
    <s v="NO"/>
    <x v="0"/>
    <x v="0"/>
  </r>
  <r>
    <s v="ORD00102"/>
    <x v="78"/>
    <x v="3"/>
    <x v="0"/>
    <x v="20"/>
    <x v="6"/>
    <x v="14"/>
    <n v="12000"/>
    <n v="5"/>
    <n v="5"/>
    <n v="10"/>
    <n v="57000"/>
    <n v="55353.68"/>
    <n v="1646.3199999999997"/>
    <s v="YES"/>
    <x v="1"/>
    <x v="2"/>
  </r>
  <r>
    <s v="ORD00103"/>
    <x v="61"/>
    <x v="0"/>
    <x v="3"/>
    <x v="22"/>
    <x v="0"/>
    <x v="10"/>
    <n v="35000"/>
    <n v="2"/>
    <n v="5"/>
    <n v="25"/>
    <n v="66500"/>
    <n v="62018.8"/>
    <n v="4481.1999999999971"/>
    <s v="YES"/>
    <x v="1"/>
    <x v="2"/>
  </r>
  <r>
    <s v="ORD00104"/>
    <x v="79"/>
    <x v="2"/>
    <x v="1"/>
    <x v="11"/>
    <x v="0"/>
    <x v="10"/>
    <n v="60000"/>
    <n v="14"/>
    <n v="5"/>
    <n v="20"/>
    <n v="798000"/>
    <n v="777836.63"/>
    <n v="20163.369999999995"/>
    <s v="YES"/>
    <x v="1"/>
    <x v="2"/>
  </r>
  <r>
    <s v="ORD00105"/>
    <x v="64"/>
    <x v="0"/>
    <x v="3"/>
    <x v="23"/>
    <x v="0"/>
    <x v="12"/>
    <n v="7000"/>
    <n v="11"/>
    <n v="15"/>
    <n v="10"/>
    <n v="65450"/>
    <n v="62341.74"/>
    <n v="3108.260000000002"/>
    <s v="NO"/>
    <x v="1"/>
    <x v="1"/>
  </r>
  <r>
    <s v="ORD00106"/>
    <x v="80"/>
    <x v="0"/>
    <x v="0"/>
    <x v="5"/>
    <x v="0"/>
    <x v="5"/>
    <n v="4500"/>
    <n v="5"/>
    <n v="15"/>
    <n v="0"/>
    <n v="19125"/>
    <n v="17199.89"/>
    <n v="1925.1100000000006"/>
    <s v="NO"/>
    <x v="1"/>
    <x v="1"/>
  </r>
  <r>
    <s v="ORD00107"/>
    <x v="43"/>
    <x v="1"/>
    <x v="4"/>
    <x v="18"/>
    <x v="5"/>
    <x v="13"/>
    <n v="18000"/>
    <n v="8"/>
    <n v="5"/>
    <n v="5"/>
    <n v="136800"/>
    <n v="138613.19"/>
    <n v="-1813.1900000000023"/>
    <s v="NO"/>
    <x v="0"/>
    <x v="0"/>
  </r>
  <r>
    <s v="ORD00108"/>
    <x v="81"/>
    <x v="2"/>
    <x v="2"/>
    <x v="9"/>
    <x v="3"/>
    <x v="8"/>
    <n v="4000"/>
    <n v="15"/>
    <n v="15"/>
    <n v="15"/>
    <n v="51000"/>
    <n v="44706.84"/>
    <n v="6293.1600000000035"/>
    <s v="NO"/>
    <x v="1"/>
    <x v="1"/>
  </r>
  <r>
    <s v="ORD00109"/>
    <x v="82"/>
    <x v="2"/>
    <x v="4"/>
    <x v="14"/>
    <x v="1"/>
    <x v="2"/>
    <n v="6500"/>
    <n v="15"/>
    <n v="15"/>
    <n v="0"/>
    <n v="82875"/>
    <n v="72875.38"/>
    <n v="9999.6199999999953"/>
    <s v="NO"/>
    <x v="1"/>
    <x v="1"/>
  </r>
  <r>
    <s v="ORD00110"/>
    <x v="83"/>
    <x v="1"/>
    <x v="1"/>
    <x v="12"/>
    <x v="4"/>
    <x v="11"/>
    <n v="8000"/>
    <n v="7"/>
    <n v="5"/>
    <n v="15"/>
    <n v="53200"/>
    <n v="53427.86"/>
    <n v="-227.86000000000058"/>
    <s v="YES"/>
    <x v="0"/>
    <x v="2"/>
  </r>
  <r>
    <s v="ORD00111"/>
    <x v="84"/>
    <x v="2"/>
    <x v="4"/>
    <x v="2"/>
    <x v="1"/>
    <x v="2"/>
    <n v="1200"/>
    <n v="4"/>
    <n v="5"/>
    <n v="25"/>
    <n v="4560"/>
    <n v="4487.54"/>
    <n v="72.460000000000036"/>
    <s v="YES"/>
    <x v="1"/>
    <x v="2"/>
  </r>
  <r>
    <s v="ORD00112"/>
    <x v="85"/>
    <x v="3"/>
    <x v="3"/>
    <x v="19"/>
    <x v="0"/>
    <x v="12"/>
    <n v="3500"/>
    <n v="10"/>
    <n v="10"/>
    <n v="0"/>
    <n v="31500"/>
    <n v="30583.97"/>
    <n v="916.02999999999884"/>
    <s v="NO"/>
    <x v="1"/>
    <x v="1"/>
  </r>
  <r>
    <s v="ORD00113"/>
    <x v="16"/>
    <x v="2"/>
    <x v="1"/>
    <x v="21"/>
    <x v="6"/>
    <x v="14"/>
    <n v="3500"/>
    <n v="4"/>
    <n v="5"/>
    <n v="5"/>
    <n v="13300"/>
    <n v="11321.55"/>
    <n v="1978.4500000000007"/>
    <s v="NO"/>
    <x v="1"/>
    <x v="1"/>
  </r>
  <r>
    <s v="ORD00114"/>
    <x v="0"/>
    <x v="2"/>
    <x v="2"/>
    <x v="19"/>
    <x v="0"/>
    <x v="12"/>
    <n v="3500"/>
    <n v="2"/>
    <n v="15"/>
    <n v="10"/>
    <n v="5950"/>
    <n v="5923.84"/>
    <n v="26.159999999999854"/>
    <s v="NO"/>
    <x v="1"/>
    <x v="1"/>
  </r>
  <r>
    <s v="ORD00115"/>
    <x v="61"/>
    <x v="2"/>
    <x v="5"/>
    <x v="22"/>
    <x v="0"/>
    <x v="10"/>
    <n v="35000"/>
    <n v="3"/>
    <n v="15"/>
    <n v="15"/>
    <n v="89250"/>
    <n v="82122.23"/>
    <n v="7127.7700000000041"/>
    <s v="NO"/>
    <x v="1"/>
    <x v="1"/>
  </r>
  <r>
    <s v="ORD00116"/>
    <x v="86"/>
    <x v="1"/>
    <x v="2"/>
    <x v="17"/>
    <x v="1"/>
    <x v="1"/>
    <n v="1200"/>
    <n v="3"/>
    <n v="15"/>
    <n v="10"/>
    <n v="3060"/>
    <n v="2684.28"/>
    <n v="375.7199999999998"/>
    <s v="NO"/>
    <x v="1"/>
    <x v="1"/>
  </r>
  <r>
    <s v="ORD00117"/>
    <x v="87"/>
    <x v="3"/>
    <x v="5"/>
    <x v="19"/>
    <x v="0"/>
    <x v="12"/>
    <n v="3500"/>
    <n v="15"/>
    <n v="10"/>
    <n v="25"/>
    <n v="47250"/>
    <n v="46542.400000000001"/>
    <n v="707.59999999999854"/>
    <s v="YES"/>
    <x v="1"/>
    <x v="2"/>
  </r>
  <r>
    <s v="ORD00118"/>
    <x v="88"/>
    <x v="3"/>
    <x v="4"/>
    <x v="18"/>
    <x v="5"/>
    <x v="13"/>
    <n v="18000"/>
    <n v="12"/>
    <n v="5"/>
    <n v="10"/>
    <n v="205200"/>
    <n v="188098.74"/>
    <n v="17101.260000000009"/>
    <s v="YES"/>
    <x v="1"/>
    <x v="2"/>
  </r>
  <r>
    <s v="ORD00119"/>
    <x v="89"/>
    <x v="1"/>
    <x v="1"/>
    <x v="10"/>
    <x v="1"/>
    <x v="9"/>
    <n v="1200"/>
    <n v="9"/>
    <n v="15"/>
    <n v="25"/>
    <n v="9180"/>
    <n v="8051.77"/>
    <n v="1128.2299999999996"/>
    <s v="YES"/>
    <x v="1"/>
    <x v="2"/>
  </r>
  <r>
    <s v="ORD00120"/>
    <x v="90"/>
    <x v="1"/>
    <x v="2"/>
    <x v="16"/>
    <x v="1"/>
    <x v="3"/>
    <n v="1500"/>
    <n v="13"/>
    <n v="10"/>
    <n v="15"/>
    <n v="17550"/>
    <n v="15991.44"/>
    <n v="1558.5599999999995"/>
    <s v="YES"/>
    <x v="1"/>
    <x v="2"/>
  </r>
  <r>
    <s v="ORD00121"/>
    <x v="4"/>
    <x v="1"/>
    <x v="1"/>
    <x v="0"/>
    <x v="0"/>
    <x v="0"/>
    <n v="6000"/>
    <n v="5"/>
    <n v="15"/>
    <n v="15"/>
    <n v="25500"/>
    <n v="25651.42"/>
    <n v="-151.41999999999825"/>
    <s v="NO"/>
    <x v="0"/>
    <x v="0"/>
  </r>
  <r>
    <s v="ORD00122"/>
    <x v="5"/>
    <x v="0"/>
    <x v="1"/>
    <x v="16"/>
    <x v="1"/>
    <x v="3"/>
    <n v="1500"/>
    <n v="4"/>
    <n v="5"/>
    <n v="0"/>
    <n v="5700"/>
    <n v="5697.4"/>
    <n v="2.6000000000003638"/>
    <s v="NO"/>
    <x v="1"/>
    <x v="1"/>
  </r>
  <r>
    <s v="ORD00123"/>
    <x v="91"/>
    <x v="0"/>
    <x v="0"/>
    <x v="0"/>
    <x v="0"/>
    <x v="0"/>
    <n v="6000"/>
    <n v="6"/>
    <n v="10"/>
    <n v="20"/>
    <n v="32400"/>
    <n v="29866.14"/>
    <n v="2533.8600000000006"/>
    <s v="YES"/>
    <x v="1"/>
    <x v="2"/>
  </r>
  <r>
    <s v="ORD00124"/>
    <x v="92"/>
    <x v="3"/>
    <x v="1"/>
    <x v="0"/>
    <x v="0"/>
    <x v="0"/>
    <n v="6000"/>
    <n v="11"/>
    <n v="5"/>
    <n v="5"/>
    <n v="62700"/>
    <n v="59777.47"/>
    <n v="2922.5299999999988"/>
    <s v="NO"/>
    <x v="1"/>
    <x v="1"/>
  </r>
  <r>
    <s v="ORD00125"/>
    <x v="93"/>
    <x v="2"/>
    <x v="0"/>
    <x v="23"/>
    <x v="0"/>
    <x v="12"/>
    <n v="7000"/>
    <n v="5"/>
    <n v="5"/>
    <n v="10"/>
    <n v="33250"/>
    <n v="31021.67"/>
    <n v="2228.3300000000017"/>
    <s v="YES"/>
    <x v="1"/>
    <x v="2"/>
  </r>
  <r>
    <s v="ORD00126"/>
    <x v="94"/>
    <x v="3"/>
    <x v="3"/>
    <x v="23"/>
    <x v="0"/>
    <x v="12"/>
    <n v="7000"/>
    <n v="10"/>
    <n v="10"/>
    <n v="10"/>
    <n v="63000"/>
    <n v="61019.22"/>
    <n v="1980.7799999999988"/>
    <s v="NO"/>
    <x v="1"/>
    <x v="1"/>
  </r>
  <r>
    <s v="ORD00127"/>
    <x v="88"/>
    <x v="2"/>
    <x v="3"/>
    <x v="14"/>
    <x v="1"/>
    <x v="2"/>
    <n v="6500"/>
    <n v="6"/>
    <n v="10"/>
    <n v="10"/>
    <n v="35100"/>
    <n v="34375.57"/>
    <n v="724.43000000000029"/>
    <s v="NO"/>
    <x v="1"/>
    <x v="1"/>
  </r>
  <r>
    <s v="ORD00128"/>
    <x v="95"/>
    <x v="2"/>
    <x v="1"/>
    <x v="3"/>
    <x v="1"/>
    <x v="3"/>
    <n v="500"/>
    <n v="8"/>
    <n v="15"/>
    <n v="20"/>
    <n v="3400"/>
    <n v="3307.14"/>
    <n v="92.860000000000127"/>
    <s v="YES"/>
    <x v="1"/>
    <x v="2"/>
  </r>
  <r>
    <s v="ORD00129"/>
    <x v="96"/>
    <x v="1"/>
    <x v="3"/>
    <x v="0"/>
    <x v="0"/>
    <x v="0"/>
    <n v="6000"/>
    <n v="14"/>
    <n v="15"/>
    <n v="10"/>
    <n v="71400"/>
    <n v="64040.73"/>
    <n v="7359.2699999999968"/>
    <s v="NO"/>
    <x v="1"/>
    <x v="1"/>
  </r>
  <r>
    <s v="ORD00130"/>
    <x v="69"/>
    <x v="0"/>
    <x v="3"/>
    <x v="20"/>
    <x v="6"/>
    <x v="14"/>
    <n v="12000"/>
    <n v="3"/>
    <n v="15"/>
    <n v="10"/>
    <n v="30600"/>
    <n v="27550.32"/>
    <n v="3049.6800000000003"/>
    <s v="NO"/>
    <x v="1"/>
    <x v="1"/>
  </r>
  <r>
    <s v="ORD00131"/>
    <x v="81"/>
    <x v="3"/>
    <x v="0"/>
    <x v="15"/>
    <x v="2"/>
    <x v="6"/>
    <n v="2500"/>
    <n v="9"/>
    <n v="5"/>
    <n v="0"/>
    <n v="21375"/>
    <n v="21632.46"/>
    <n v="-257.45999999999913"/>
    <s v="NO"/>
    <x v="0"/>
    <x v="0"/>
  </r>
  <r>
    <s v="ORD00132"/>
    <x v="16"/>
    <x v="3"/>
    <x v="1"/>
    <x v="1"/>
    <x v="1"/>
    <x v="1"/>
    <n v="1800"/>
    <n v="2"/>
    <n v="15"/>
    <n v="5"/>
    <n v="3060"/>
    <n v="3070.95"/>
    <n v="-10.949999999999818"/>
    <s v="NO"/>
    <x v="0"/>
    <x v="0"/>
  </r>
  <r>
    <s v="ORD00133"/>
    <x v="56"/>
    <x v="3"/>
    <x v="1"/>
    <x v="12"/>
    <x v="4"/>
    <x v="11"/>
    <n v="8000"/>
    <n v="14"/>
    <n v="10"/>
    <n v="0"/>
    <n v="100800"/>
    <n v="93270.66"/>
    <n v="7529.3399999999965"/>
    <s v="NO"/>
    <x v="1"/>
    <x v="1"/>
  </r>
  <r>
    <s v="ORD00134"/>
    <x v="97"/>
    <x v="2"/>
    <x v="2"/>
    <x v="0"/>
    <x v="0"/>
    <x v="0"/>
    <n v="6000"/>
    <n v="1"/>
    <n v="10"/>
    <n v="10"/>
    <n v="5400"/>
    <n v="4930.12"/>
    <n v="469.88000000000011"/>
    <s v="NO"/>
    <x v="1"/>
    <x v="1"/>
  </r>
  <r>
    <s v="ORD00135"/>
    <x v="15"/>
    <x v="2"/>
    <x v="1"/>
    <x v="14"/>
    <x v="1"/>
    <x v="2"/>
    <n v="6500"/>
    <n v="9"/>
    <n v="10"/>
    <n v="20"/>
    <n v="52650"/>
    <n v="54665.08"/>
    <n v="-2015.0800000000017"/>
    <s v="YES"/>
    <x v="0"/>
    <x v="2"/>
  </r>
  <r>
    <s v="ORD00136"/>
    <x v="98"/>
    <x v="1"/>
    <x v="1"/>
    <x v="2"/>
    <x v="1"/>
    <x v="2"/>
    <n v="1200"/>
    <n v="15"/>
    <n v="10"/>
    <n v="10"/>
    <n v="16200"/>
    <n v="16989.91"/>
    <n v="-789.90999999999985"/>
    <s v="NO"/>
    <x v="0"/>
    <x v="0"/>
  </r>
  <r>
    <s v="ORD00137"/>
    <x v="43"/>
    <x v="0"/>
    <x v="5"/>
    <x v="14"/>
    <x v="1"/>
    <x v="2"/>
    <n v="6500"/>
    <n v="8"/>
    <n v="5"/>
    <n v="0"/>
    <n v="49400"/>
    <n v="45486.559999999998"/>
    <n v="3913.4400000000023"/>
    <s v="NO"/>
    <x v="1"/>
    <x v="1"/>
  </r>
  <r>
    <s v="ORD00138"/>
    <x v="32"/>
    <x v="3"/>
    <x v="0"/>
    <x v="20"/>
    <x v="6"/>
    <x v="14"/>
    <n v="12000"/>
    <n v="6"/>
    <n v="15"/>
    <n v="5"/>
    <n v="61200"/>
    <n v="63912.01"/>
    <n v="-2712.010000000002"/>
    <s v="NO"/>
    <x v="0"/>
    <x v="0"/>
  </r>
  <r>
    <s v="ORD00139"/>
    <x v="99"/>
    <x v="3"/>
    <x v="0"/>
    <x v="22"/>
    <x v="0"/>
    <x v="10"/>
    <n v="35000"/>
    <n v="4"/>
    <n v="15"/>
    <n v="20"/>
    <n v="119000"/>
    <n v="111850.4"/>
    <n v="7149.6000000000058"/>
    <s v="YES"/>
    <x v="1"/>
    <x v="2"/>
  </r>
  <r>
    <s v="ORD00140"/>
    <x v="40"/>
    <x v="3"/>
    <x v="2"/>
    <x v="14"/>
    <x v="1"/>
    <x v="2"/>
    <n v="6500"/>
    <n v="9"/>
    <n v="10"/>
    <n v="20"/>
    <n v="52650"/>
    <n v="45941.77"/>
    <n v="6708.2300000000032"/>
    <s v="YES"/>
    <x v="1"/>
    <x v="2"/>
  </r>
  <r>
    <s v="ORD00141"/>
    <x v="34"/>
    <x v="3"/>
    <x v="0"/>
    <x v="15"/>
    <x v="2"/>
    <x v="6"/>
    <n v="2500"/>
    <n v="3"/>
    <n v="5"/>
    <n v="10"/>
    <n v="7125"/>
    <n v="6845.11"/>
    <n v="279.89000000000033"/>
    <s v="YES"/>
    <x v="1"/>
    <x v="2"/>
  </r>
  <r>
    <s v="ORD00142"/>
    <x v="67"/>
    <x v="3"/>
    <x v="0"/>
    <x v="18"/>
    <x v="5"/>
    <x v="13"/>
    <n v="18000"/>
    <n v="1"/>
    <n v="5"/>
    <n v="20"/>
    <n v="17100"/>
    <n v="17502.71"/>
    <n v="-402.70999999999913"/>
    <s v="YES"/>
    <x v="0"/>
    <x v="2"/>
  </r>
  <r>
    <s v="ORD00143"/>
    <x v="1"/>
    <x v="0"/>
    <x v="0"/>
    <x v="5"/>
    <x v="0"/>
    <x v="5"/>
    <n v="4500"/>
    <n v="4"/>
    <n v="5"/>
    <n v="5"/>
    <n v="17100"/>
    <n v="15437.8"/>
    <n v="1662.2000000000007"/>
    <s v="NO"/>
    <x v="1"/>
    <x v="1"/>
  </r>
  <r>
    <s v="ORD00144"/>
    <x v="100"/>
    <x v="0"/>
    <x v="1"/>
    <x v="3"/>
    <x v="1"/>
    <x v="3"/>
    <n v="500"/>
    <n v="2"/>
    <n v="15"/>
    <n v="20"/>
    <n v="850"/>
    <n v="848.75"/>
    <n v="1.25"/>
    <s v="YES"/>
    <x v="1"/>
    <x v="2"/>
  </r>
  <r>
    <s v="ORD00145"/>
    <x v="17"/>
    <x v="3"/>
    <x v="4"/>
    <x v="6"/>
    <x v="2"/>
    <x v="6"/>
    <n v="4500"/>
    <n v="10"/>
    <n v="5"/>
    <n v="10"/>
    <n v="42750"/>
    <n v="38426.46"/>
    <n v="4323.5400000000009"/>
    <s v="YES"/>
    <x v="1"/>
    <x v="2"/>
  </r>
  <r>
    <s v="ORD00146"/>
    <x v="39"/>
    <x v="3"/>
    <x v="0"/>
    <x v="14"/>
    <x v="1"/>
    <x v="2"/>
    <n v="6500"/>
    <n v="12"/>
    <n v="5"/>
    <n v="0"/>
    <n v="74100"/>
    <n v="65566.289999999994"/>
    <n v="8533.7100000000064"/>
    <s v="NO"/>
    <x v="1"/>
    <x v="1"/>
  </r>
  <r>
    <s v="ORD00147"/>
    <x v="101"/>
    <x v="3"/>
    <x v="0"/>
    <x v="0"/>
    <x v="0"/>
    <x v="0"/>
    <n v="6000"/>
    <n v="11"/>
    <n v="15"/>
    <n v="15"/>
    <n v="56100"/>
    <n v="50840.88"/>
    <n v="5259.1200000000026"/>
    <s v="NO"/>
    <x v="1"/>
    <x v="1"/>
  </r>
  <r>
    <s v="ORD00148"/>
    <x v="102"/>
    <x v="1"/>
    <x v="3"/>
    <x v="14"/>
    <x v="1"/>
    <x v="2"/>
    <n v="6500"/>
    <n v="2"/>
    <n v="5"/>
    <n v="25"/>
    <n v="12350"/>
    <n v="12006.31"/>
    <n v="343.69000000000051"/>
    <s v="YES"/>
    <x v="1"/>
    <x v="2"/>
  </r>
  <r>
    <s v="ORD00149"/>
    <x v="103"/>
    <x v="1"/>
    <x v="2"/>
    <x v="14"/>
    <x v="1"/>
    <x v="2"/>
    <n v="6500"/>
    <n v="5"/>
    <n v="15"/>
    <n v="5"/>
    <n v="27625"/>
    <n v="25706.06"/>
    <n v="1918.9399999999987"/>
    <s v="NO"/>
    <x v="1"/>
    <x v="1"/>
  </r>
  <r>
    <s v="ORD00150"/>
    <x v="59"/>
    <x v="1"/>
    <x v="1"/>
    <x v="20"/>
    <x v="6"/>
    <x v="14"/>
    <n v="12000"/>
    <n v="12"/>
    <n v="15"/>
    <n v="5"/>
    <n v="122400"/>
    <n v="125685.09"/>
    <n v="-3285.0899999999965"/>
    <s v="NO"/>
    <x v="0"/>
    <x v="0"/>
  </r>
  <r>
    <s v="ORD00151"/>
    <x v="104"/>
    <x v="1"/>
    <x v="5"/>
    <x v="10"/>
    <x v="1"/>
    <x v="9"/>
    <n v="1200"/>
    <n v="9"/>
    <n v="10"/>
    <n v="15"/>
    <n v="9720"/>
    <n v="8973.6200000000008"/>
    <n v="746.3799999999992"/>
    <s v="YES"/>
    <x v="1"/>
    <x v="2"/>
  </r>
  <r>
    <s v="ORD00152"/>
    <x v="52"/>
    <x v="0"/>
    <x v="2"/>
    <x v="21"/>
    <x v="6"/>
    <x v="14"/>
    <n v="3500"/>
    <n v="3"/>
    <n v="5"/>
    <n v="10"/>
    <n v="9975"/>
    <n v="9150.5400000000009"/>
    <n v="824.45999999999913"/>
    <s v="YES"/>
    <x v="1"/>
    <x v="2"/>
  </r>
  <r>
    <s v="ORD00153"/>
    <x v="105"/>
    <x v="0"/>
    <x v="4"/>
    <x v="14"/>
    <x v="1"/>
    <x v="2"/>
    <n v="6500"/>
    <n v="7"/>
    <n v="15"/>
    <n v="10"/>
    <n v="38675"/>
    <n v="36633.06"/>
    <n v="2041.9400000000023"/>
    <s v="NO"/>
    <x v="1"/>
    <x v="1"/>
  </r>
  <r>
    <s v="ORD00154"/>
    <x v="94"/>
    <x v="1"/>
    <x v="4"/>
    <x v="17"/>
    <x v="1"/>
    <x v="1"/>
    <n v="1200"/>
    <n v="9"/>
    <n v="15"/>
    <n v="20"/>
    <n v="9180"/>
    <n v="8479.86"/>
    <n v="700.13999999999942"/>
    <s v="YES"/>
    <x v="1"/>
    <x v="2"/>
  </r>
  <r>
    <s v="ORD00155"/>
    <x v="95"/>
    <x v="2"/>
    <x v="4"/>
    <x v="22"/>
    <x v="0"/>
    <x v="10"/>
    <n v="35000"/>
    <n v="11"/>
    <n v="10"/>
    <n v="10"/>
    <n v="346500"/>
    <n v="295895.78000000003"/>
    <n v="50604.219999999972"/>
    <s v="NO"/>
    <x v="1"/>
    <x v="1"/>
  </r>
  <r>
    <s v="ORD00156"/>
    <x v="106"/>
    <x v="2"/>
    <x v="4"/>
    <x v="15"/>
    <x v="2"/>
    <x v="6"/>
    <n v="2500"/>
    <n v="11"/>
    <n v="10"/>
    <n v="25"/>
    <n v="24750"/>
    <n v="25580.07"/>
    <n v="-830.06999999999971"/>
    <s v="YES"/>
    <x v="0"/>
    <x v="2"/>
  </r>
  <r>
    <s v="ORD00157"/>
    <x v="107"/>
    <x v="3"/>
    <x v="1"/>
    <x v="7"/>
    <x v="2"/>
    <x v="7"/>
    <n v="18000"/>
    <n v="12"/>
    <n v="15"/>
    <n v="15"/>
    <n v="183600"/>
    <n v="167932.76"/>
    <n v="15667.239999999991"/>
    <s v="NO"/>
    <x v="1"/>
    <x v="1"/>
  </r>
  <r>
    <s v="ORD00158"/>
    <x v="108"/>
    <x v="0"/>
    <x v="2"/>
    <x v="21"/>
    <x v="6"/>
    <x v="14"/>
    <n v="3500"/>
    <n v="5"/>
    <n v="10"/>
    <n v="0"/>
    <n v="15750"/>
    <n v="16057.33"/>
    <n v="-307.32999999999993"/>
    <s v="NO"/>
    <x v="0"/>
    <x v="0"/>
  </r>
  <r>
    <s v="ORD00159"/>
    <x v="21"/>
    <x v="3"/>
    <x v="4"/>
    <x v="9"/>
    <x v="3"/>
    <x v="8"/>
    <n v="4000"/>
    <n v="14"/>
    <n v="15"/>
    <n v="15"/>
    <n v="47600"/>
    <n v="45638.879999999997"/>
    <n v="1961.1200000000026"/>
    <s v="NO"/>
    <x v="1"/>
    <x v="1"/>
  </r>
  <r>
    <s v="ORD00160"/>
    <x v="45"/>
    <x v="1"/>
    <x v="2"/>
    <x v="12"/>
    <x v="4"/>
    <x v="11"/>
    <n v="8000"/>
    <n v="8"/>
    <n v="10"/>
    <n v="5"/>
    <n v="57600"/>
    <n v="57785.03"/>
    <n v="-185.02999999999884"/>
    <s v="NO"/>
    <x v="0"/>
    <x v="0"/>
  </r>
  <r>
    <s v="ORD00161"/>
    <x v="64"/>
    <x v="1"/>
    <x v="0"/>
    <x v="17"/>
    <x v="1"/>
    <x v="1"/>
    <n v="1200"/>
    <n v="1"/>
    <n v="10"/>
    <n v="25"/>
    <n v="1080"/>
    <n v="1099.1500000000001"/>
    <n v="-19.150000000000091"/>
    <s v="YES"/>
    <x v="0"/>
    <x v="2"/>
  </r>
  <r>
    <s v="ORD00162"/>
    <x v="109"/>
    <x v="3"/>
    <x v="2"/>
    <x v="0"/>
    <x v="0"/>
    <x v="0"/>
    <n v="6000"/>
    <n v="9"/>
    <n v="15"/>
    <n v="10"/>
    <n v="45900"/>
    <n v="44362.75"/>
    <n v="1537.25"/>
    <s v="NO"/>
    <x v="1"/>
    <x v="1"/>
  </r>
  <r>
    <s v="ORD00163"/>
    <x v="21"/>
    <x v="1"/>
    <x v="1"/>
    <x v="23"/>
    <x v="0"/>
    <x v="12"/>
    <n v="7000"/>
    <n v="6"/>
    <n v="5"/>
    <n v="20"/>
    <n v="39900"/>
    <n v="37472.660000000003"/>
    <n v="2427.3399999999965"/>
    <s v="YES"/>
    <x v="1"/>
    <x v="2"/>
  </r>
  <r>
    <s v="ORD00164"/>
    <x v="110"/>
    <x v="2"/>
    <x v="0"/>
    <x v="10"/>
    <x v="1"/>
    <x v="9"/>
    <n v="1200"/>
    <n v="9"/>
    <n v="5"/>
    <n v="25"/>
    <n v="10260"/>
    <n v="10147.56"/>
    <n v="112.44000000000051"/>
    <s v="YES"/>
    <x v="1"/>
    <x v="2"/>
  </r>
  <r>
    <s v="ORD00165"/>
    <x v="91"/>
    <x v="0"/>
    <x v="0"/>
    <x v="13"/>
    <x v="0"/>
    <x v="12"/>
    <n v="8000"/>
    <n v="3"/>
    <n v="5"/>
    <n v="10"/>
    <n v="22800"/>
    <n v="23890.93"/>
    <n v="-1090.9300000000003"/>
    <s v="YES"/>
    <x v="0"/>
    <x v="2"/>
  </r>
  <r>
    <s v="ORD00166"/>
    <x v="111"/>
    <x v="0"/>
    <x v="0"/>
    <x v="4"/>
    <x v="2"/>
    <x v="4"/>
    <n v="15000"/>
    <n v="6"/>
    <n v="10"/>
    <n v="25"/>
    <n v="81000"/>
    <n v="81909.2"/>
    <n v="-909.19999999999709"/>
    <s v="YES"/>
    <x v="0"/>
    <x v="2"/>
  </r>
  <r>
    <s v="ORD00167"/>
    <x v="112"/>
    <x v="0"/>
    <x v="3"/>
    <x v="23"/>
    <x v="0"/>
    <x v="12"/>
    <n v="7000"/>
    <n v="15"/>
    <n v="10"/>
    <n v="20"/>
    <n v="94500"/>
    <n v="82631.64"/>
    <n v="11868.36"/>
    <s v="YES"/>
    <x v="1"/>
    <x v="2"/>
  </r>
  <r>
    <s v="ORD00168"/>
    <x v="97"/>
    <x v="1"/>
    <x v="4"/>
    <x v="22"/>
    <x v="0"/>
    <x v="10"/>
    <n v="35000"/>
    <n v="6"/>
    <n v="5"/>
    <n v="0"/>
    <n v="199500"/>
    <n v="191654.35"/>
    <n v="7845.6499999999942"/>
    <s v="NO"/>
    <x v="1"/>
    <x v="1"/>
  </r>
  <r>
    <s v="ORD00169"/>
    <x v="90"/>
    <x v="2"/>
    <x v="0"/>
    <x v="13"/>
    <x v="0"/>
    <x v="12"/>
    <n v="8000"/>
    <n v="12"/>
    <n v="5"/>
    <n v="25"/>
    <n v="91200"/>
    <n v="89200.76"/>
    <n v="1999.2400000000052"/>
    <s v="YES"/>
    <x v="1"/>
    <x v="2"/>
  </r>
  <r>
    <s v="ORD00170"/>
    <x v="108"/>
    <x v="1"/>
    <x v="3"/>
    <x v="6"/>
    <x v="2"/>
    <x v="6"/>
    <n v="4500"/>
    <n v="8"/>
    <n v="10"/>
    <n v="5"/>
    <n v="32400"/>
    <n v="28346.400000000001"/>
    <n v="4053.5999999999985"/>
    <s v="NO"/>
    <x v="1"/>
    <x v="1"/>
  </r>
  <r>
    <s v="ORD00171"/>
    <x v="113"/>
    <x v="0"/>
    <x v="0"/>
    <x v="17"/>
    <x v="1"/>
    <x v="1"/>
    <n v="1200"/>
    <n v="7"/>
    <n v="5"/>
    <n v="15"/>
    <n v="7980"/>
    <n v="8337.11"/>
    <n v="-357.11000000000058"/>
    <s v="YES"/>
    <x v="0"/>
    <x v="2"/>
  </r>
  <r>
    <s v="ORD00172"/>
    <x v="114"/>
    <x v="2"/>
    <x v="5"/>
    <x v="15"/>
    <x v="2"/>
    <x v="6"/>
    <n v="2500"/>
    <n v="7"/>
    <n v="5"/>
    <n v="15"/>
    <n v="16625"/>
    <n v="14787.96"/>
    <n v="1837.0400000000009"/>
    <s v="YES"/>
    <x v="1"/>
    <x v="2"/>
  </r>
  <r>
    <s v="ORD00173"/>
    <x v="112"/>
    <x v="0"/>
    <x v="0"/>
    <x v="19"/>
    <x v="0"/>
    <x v="12"/>
    <n v="3500"/>
    <n v="12"/>
    <n v="5"/>
    <n v="5"/>
    <n v="39900"/>
    <n v="39936.97"/>
    <n v="-36.970000000001164"/>
    <s v="NO"/>
    <x v="0"/>
    <x v="0"/>
  </r>
  <r>
    <s v="ORD00174"/>
    <x v="115"/>
    <x v="0"/>
    <x v="4"/>
    <x v="18"/>
    <x v="5"/>
    <x v="13"/>
    <n v="18000"/>
    <n v="5"/>
    <n v="5"/>
    <n v="5"/>
    <n v="85500"/>
    <n v="72998.14"/>
    <n v="12501.86"/>
    <s v="NO"/>
    <x v="1"/>
    <x v="1"/>
  </r>
  <r>
    <s v="ORD00175"/>
    <x v="116"/>
    <x v="3"/>
    <x v="1"/>
    <x v="23"/>
    <x v="0"/>
    <x v="12"/>
    <n v="7000"/>
    <n v="11"/>
    <n v="5"/>
    <n v="20"/>
    <n v="73150"/>
    <n v="69416.23"/>
    <n v="3733.7700000000041"/>
    <s v="YES"/>
    <x v="1"/>
    <x v="2"/>
  </r>
  <r>
    <s v="ORD00176"/>
    <x v="71"/>
    <x v="3"/>
    <x v="2"/>
    <x v="5"/>
    <x v="0"/>
    <x v="5"/>
    <n v="4500"/>
    <n v="14"/>
    <n v="15"/>
    <n v="25"/>
    <n v="53550"/>
    <n v="53324.46"/>
    <n v="225.54000000000087"/>
    <s v="YES"/>
    <x v="1"/>
    <x v="2"/>
  </r>
  <r>
    <s v="ORD00177"/>
    <x v="117"/>
    <x v="1"/>
    <x v="2"/>
    <x v="0"/>
    <x v="0"/>
    <x v="0"/>
    <n v="6000"/>
    <n v="3"/>
    <n v="10"/>
    <n v="25"/>
    <n v="16200"/>
    <n v="14465.12"/>
    <n v="1734.8799999999992"/>
    <s v="YES"/>
    <x v="1"/>
    <x v="2"/>
  </r>
  <r>
    <s v="ORD00178"/>
    <x v="83"/>
    <x v="3"/>
    <x v="0"/>
    <x v="4"/>
    <x v="2"/>
    <x v="4"/>
    <n v="15000"/>
    <n v="8"/>
    <n v="10"/>
    <n v="0"/>
    <n v="108000"/>
    <n v="94979.59"/>
    <n v="13020.410000000003"/>
    <s v="NO"/>
    <x v="1"/>
    <x v="1"/>
  </r>
  <r>
    <s v="ORD00179"/>
    <x v="118"/>
    <x v="0"/>
    <x v="5"/>
    <x v="19"/>
    <x v="0"/>
    <x v="12"/>
    <n v="3500"/>
    <n v="15"/>
    <n v="5"/>
    <n v="5"/>
    <n v="49875"/>
    <n v="44811.57"/>
    <n v="5063.43"/>
    <s v="NO"/>
    <x v="1"/>
    <x v="1"/>
  </r>
  <r>
    <s v="ORD00180"/>
    <x v="105"/>
    <x v="3"/>
    <x v="3"/>
    <x v="22"/>
    <x v="0"/>
    <x v="10"/>
    <n v="35000"/>
    <n v="10"/>
    <n v="15"/>
    <n v="20"/>
    <n v="297500"/>
    <n v="275366.36"/>
    <n v="22133.640000000014"/>
    <s v="YES"/>
    <x v="1"/>
    <x v="2"/>
  </r>
  <r>
    <s v="ORD00181"/>
    <x v="18"/>
    <x v="3"/>
    <x v="2"/>
    <x v="2"/>
    <x v="1"/>
    <x v="2"/>
    <n v="1200"/>
    <n v="12"/>
    <n v="15"/>
    <n v="25"/>
    <n v="12240"/>
    <n v="11614.34"/>
    <n v="625.65999999999985"/>
    <s v="YES"/>
    <x v="1"/>
    <x v="2"/>
  </r>
  <r>
    <s v="ORD00182"/>
    <x v="78"/>
    <x v="1"/>
    <x v="5"/>
    <x v="6"/>
    <x v="2"/>
    <x v="6"/>
    <n v="4500"/>
    <n v="6"/>
    <n v="15"/>
    <n v="10"/>
    <n v="22950"/>
    <n v="21033.99"/>
    <n v="1916.0099999999984"/>
    <s v="NO"/>
    <x v="1"/>
    <x v="1"/>
  </r>
  <r>
    <s v="ORD00183"/>
    <x v="119"/>
    <x v="3"/>
    <x v="2"/>
    <x v="23"/>
    <x v="0"/>
    <x v="12"/>
    <n v="7000"/>
    <n v="4"/>
    <n v="10"/>
    <n v="10"/>
    <n v="25200"/>
    <n v="22410.98"/>
    <n v="2789.0200000000004"/>
    <s v="NO"/>
    <x v="1"/>
    <x v="1"/>
  </r>
  <r>
    <s v="ORD00184"/>
    <x v="36"/>
    <x v="0"/>
    <x v="4"/>
    <x v="19"/>
    <x v="0"/>
    <x v="12"/>
    <n v="3500"/>
    <n v="4"/>
    <n v="15"/>
    <n v="15"/>
    <n v="11900"/>
    <n v="10988.18"/>
    <n v="911.81999999999971"/>
    <s v="NO"/>
    <x v="1"/>
    <x v="1"/>
  </r>
  <r>
    <s v="ORD00185"/>
    <x v="72"/>
    <x v="1"/>
    <x v="0"/>
    <x v="14"/>
    <x v="1"/>
    <x v="2"/>
    <n v="6500"/>
    <n v="14"/>
    <n v="15"/>
    <n v="0"/>
    <n v="77350"/>
    <n v="67126.91"/>
    <n v="10223.089999999997"/>
    <s v="NO"/>
    <x v="1"/>
    <x v="1"/>
  </r>
  <r>
    <s v="ORD00186"/>
    <x v="120"/>
    <x v="1"/>
    <x v="3"/>
    <x v="5"/>
    <x v="0"/>
    <x v="5"/>
    <n v="4500"/>
    <n v="2"/>
    <n v="15"/>
    <n v="15"/>
    <n v="7650"/>
    <n v="7417.07"/>
    <n v="232.93000000000029"/>
    <s v="NO"/>
    <x v="1"/>
    <x v="1"/>
  </r>
  <r>
    <s v="ORD00187"/>
    <x v="121"/>
    <x v="3"/>
    <x v="3"/>
    <x v="4"/>
    <x v="2"/>
    <x v="4"/>
    <n v="15000"/>
    <n v="11"/>
    <n v="10"/>
    <n v="10"/>
    <n v="148500"/>
    <n v="130235.29"/>
    <n v="18264.710000000006"/>
    <s v="NO"/>
    <x v="1"/>
    <x v="1"/>
  </r>
  <r>
    <s v="ORD00188"/>
    <x v="2"/>
    <x v="0"/>
    <x v="0"/>
    <x v="7"/>
    <x v="2"/>
    <x v="7"/>
    <n v="18000"/>
    <n v="2"/>
    <n v="15"/>
    <n v="5"/>
    <n v="30600"/>
    <n v="27561.4"/>
    <n v="3038.5999999999985"/>
    <s v="NO"/>
    <x v="1"/>
    <x v="1"/>
  </r>
  <r>
    <s v="ORD00189"/>
    <x v="122"/>
    <x v="0"/>
    <x v="3"/>
    <x v="2"/>
    <x v="1"/>
    <x v="2"/>
    <n v="1200"/>
    <n v="8"/>
    <n v="15"/>
    <n v="0"/>
    <n v="8160"/>
    <n v="7827.45"/>
    <n v="332.55000000000018"/>
    <s v="NO"/>
    <x v="1"/>
    <x v="1"/>
  </r>
  <r>
    <s v="ORD00190"/>
    <x v="85"/>
    <x v="0"/>
    <x v="3"/>
    <x v="23"/>
    <x v="0"/>
    <x v="12"/>
    <n v="7000"/>
    <n v="15"/>
    <n v="5"/>
    <n v="25"/>
    <n v="99750"/>
    <n v="88294.26"/>
    <n v="11455.740000000005"/>
    <s v="YES"/>
    <x v="1"/>
    <x v="2"/>
  </r>
  <r>
    <s v="ORD00191"/>
    <x v="0"/>
    <x v="3"/>
    <x v="4"/>
    <x v="7"/>
    <x v="2"/>
    <x v="7"/>
    <n v="18000"/>
    <n v="12"/>
    <n v="15"/>
    <n v="25"/>
    <n v="183600"/>
    <n v="173542.04"/>
    <n v="10057.959999999992"/>
    <s v="YES"/>
    <x v="1"/>
    <x v="2"/>
  </r>
  <r>
    <s v="ORD00192"/>
    <x v="123"/>
    <x v="1"/>
    <x v="0"/>
    <x v="1"/>
    <x v="1"/>
    <x v="1"/>
    <n v="1800"/>
    <n v="1"/>
    <n v="10"/>
    <n v="15"/>
    <n v="1620"/>
    <n v="1416.03"/>
    <n v="203.97000000000003"/>
    <s v="YES"/>
    <x v="1"/>
    <x v="2"/>
  </r>
  <r>
    <s v="ORD00193"/>
    <x v="124"/>
    <x v="2"/>
    <x v="3"/>
    <x v="3"/>
    <x v="1"/>
    <x v="3"/>
    <n v="500"/>
    <n v="1"/>
    <n v="10"/>
    <n v="25"/>
    <n v="450"/>
    <n v="451.05"/>
    <n v="-1.0500000000000114"/>
    <s v="YES"/>
    <x v="0"/>
    <x v="2"/>
  </r>
  <r>
    <s v="ORD00194"/>
    <x v="54"/>
    <x v="1"/>
    <x v="4"/>
    <x v="3"/>
    <x v="1"/>
    <x v="3"/>
    <n v="500"/>
    <n v="6"/>
    <n v="5"/>
    <n v="0"/>
    <n v="2850"/>
    <n v="2757.32"/>
    <n v="92.679999999999836"/>
    <s v="NO"/>
    <x v="1"/>
    <x v="1"/>
  </r>
  <r>
    <s v="ORD00195"/>
    <x v="125"/>
    <x v="2"/>
    <x v="1"/>
    <x v="17"/>
    <x v="1"/>
    <x v="1"/>
    <n v="1200"/>
    <n v="1"/>
    <n v="15"/>
    <n v="10"/>
    <n v="1020"/>
    <n v="970.24"/>
    <n v="49.759999999999991"/>
    <s v="NO"/>
    <x v="1"/>
    <x v="1"/>
  </r>
  <r>
    <s v="ORD00196"/>
    <x v="124"/>
    <x v="0"/>
    <x v="3"/>
    <x v="15"/>
    <x v="2"/>
    <x v="6"/>
    <n v="2500"/>
    <n v="14"/>
    <n v="15"/>
    <n v="15"/>
    <n v="29750"/>
    <n v="29110.560000000001"/>
    <n v="639.43999999999869"/>
    <s v="NO"/>
    <x v="1"/>
    <x v="1"/>
  </r>
  <r>
    <s v="ORD00197"/>
    <x v="97"/>
    <x v="1"/>
    <x v="3"/>
    <x v="13"/>
    <x v="0"/>
    <x v="12"/>
    <n v="8000"/>
    <n v="3"/>
    <n v="10"/>
    <n v="5"/>
    <n v="21600"/>
    <n v="20601.57"/>
    <n v="998.43000000000029"/>
    <s v="NO"/>
    <x v="1"/>
    <x v="1"/>
  </r>
  <r>
    <s v="ORD00198"/>
    <x v="32"/>
    <x v="2"/>
    <x v="5"/>
    <x v="3"/>
    <x v="1"/>
    <x v="3"/>
    <n v="500"/>
    <n v="8"/>
    <n v="10"/>
    <n v="25"/>
    <n v="3600"/>
    <n v="3146.67"/>
    <n v="453.32999999999993"/>
    <s v="YES"/>
    <x v="1"/>
    <x v="2"/>
  </r>
  <r>
    <s v="ORD00199"/>
    <x v="126"/>
    <x v="0"/>
    <x v="3"/>
    <x v="8"/>
    <x v="1"/>
    <x v="3"/>
    <n v="2800"/>
    <n v="13"/>
    <n v="5"/>
    <n v="5"/>
    <n v="34580"/>
    <n v="35276.870000000003"/>
    <n v="-696.87000000000262"/>
    <s v="NO"/>
    <x v="0"/>
    <x v="0"/>
  </r>
  <r>
    <s v="ORD00200"/>
    <x v="65"/>
    <x v="0"/>
    <x v="5"/>
    <x v="14"/>
    <x v="1"/>
    <x v="2"/>
    <n v="6500"/>
    <n v="4"/>
    <n v="5"/>
    <n v="10"/>
    <n v="24700"/>
    <n v="22367.35"/>
    <n v="2332.6500000000015"/>
    <s v="YES"/>
    <x v="1"/>
    <x v="2"/>
  </r>
  <r>
    <s v="ORD00201"/>
    <x v="101"/>
    <x v="3"/>
    <x v="3"/>
    <x v="19"/>
    <x v="0"/>
    <x v="12"/>
    <n v="3500"/>
    <n v="5"/>
    <n v="15"/>
    <n v="10"/>
    <n v="14875"/>
    <n v="13582.45"/>
    <n v="1292.5499999999993"/>
    <s v="NO"/>
    <x v="1"/>
    <x v="1"/>
  </r>
  <r>
    <s v="ORD00202"/>
    <x v="52"/>
    <x v="1"/>
    <x v="5"/>
    <x v="17"/>
    <x v="1"/>
    <x v="1"/>
    <n v="1200"/>
    <n v="3"/>
    <n v="5"/>
    <n v="15"/>
    <n v="3420"/>
    <n v="2995.91"/>
    <n v="424.09000000000015"/>
    <s v="YES"/>
    <x v="1"/>
    <x v="2"/>
  </r>
  <r>
    <s v="ORD00203"/>
    <x v="72"/>
    <x v="0"/>
    <x v="4"/>
    <x v="10"/>
    <x v="1"/>
    <x v="9"/>
    <n v="1200"/>
    <n v="3"/>
    <n v="5"/>
    <n v="5"/>
    <n v="3420"/>
    <n v="3538.3"/>
    <n v="-118.30000000000018"/>
    <s v="NO"/>
    <x v="0"/>
    <x v="0"/>
  </r>
  <r>
    <s v="ORD00204"/>
    <x v="27"/>
    <x v="2"/>
    <x v="3"/>
    <x v="23"/>
    <x v="0"/>
    <x v="12"/>
    <n v="7000"/>
    <n v="2"/>
    <n v="5"/>
    <n v="20"/>
    <n v="13300"/>
    <n v="12692.26"/>
    <n v="607.73999999999978"/>
    <s v="YES"/>
    <x v="1"/>
    <x v="2"/>
  </r>
  <r>
    <s v="ORD00205"/>
    <x v="90"/>
    <x v="1"/>
    <x v="5"/>
    <x v="0"/>
    <x v="0"/>
    <x v="0"/>
    <n v="6000"/>
    <n v="10"/>
    <n v="10"/>
    <n v="15"/>
    <n v="54000"/>
    <n v="47959.48"/>
    <n v="6040.5199999999968"/>
    <s v="YES"/>
    <x v="1"/>
    <x v="2"/>
  </r>
  <r>
    <s v="ORD00206"/>
    <x v="3"/>
    <x v="1"/>
    <x v="4"/>
    <x v="10"/>
    <x v="1"/>
    <x v="9"/>
    <n v="1200"/>
    <n v="9"/>
    <n v="5"/>
    <n v="25"/>
    <n v="10260"/>
    <n v="9246.99"/>
    <n v="1013.0100000000002"/>
    <s v="YES"/>
    <x v="1"/>
    <x v="2"/>
  </r>
  <r>
    <s v="ORD00207"/>
    <x v="7"/>
    <x v="2"/>
    <x v="2"/>
    <x v="4"/>
    <x v="2"/>
    <x v="4"/>
    <n v="15000"/>
    <n v="10"/>
    <n v="5"/>
    <n v="25"/>
    <n v="142500"/>
    <n v="134011.71"/>
    <n v="8488.2900000000081"/>
    <s v="YES"/>
    <x v="1"/>
    <x v="2"/>
  </r>
  <r>
    <s v="ORD00208"/>
    <x v="127"/>
    <x v="1"/>
    <x v="3"/>
    <x v="5"/>
    <x v="0"/>
    <x v="5"/>
    <n v="4500"/>
    <n v="2"/>
    <n v="15"/>
    <n v="20"/>
    <n v="7650"/>
    <n v="7870.49"/>
    <n v="-220.48999999999978"/>
    <s v="YES"/>
    <x v="0"/>
    <x v="2"/>
  </r>
  <r>
    <s v="ORD00209"/>
    <x v="128"/>
    <x v="2"/>
    <x v="3"/>
    <x v="4"/>
    <x v="2"/>
    <x v="4"/>
    <n v="15000"/>
    <n v="3"/>
    <n v="5"/>
    <n v="15"/>
    <n v="42750"/>
    <n v="43632.17"/>
    <n v="-882.16999999999825"/>
    <s v="YES"/>
    <x v="0"/>
    <x v="2"/>
  </r>
  <r>
    <s v="ORD00210"/>
    <x v="19"/>
    <x v="0"/>
    <x v="0"/>
    <x v="17"/>
    <x v="1"/>
    <x v="1"/>
    <n v="1200"/>
    <n v="4"/>
    <n v="15"/>
    <n v="20"/>
    <n v="4080"/>
    <n v="3823.54"/>
    <n v="256.46000000000004"/>
    <s v="YES"/>
    <x v="1"/>
    <x v="2"/>
  </r>
  <r>
    <s v="ORD00211"/>
    <x v="103"/>
    <x v="1"/>
    <x v="5"/>
    <x v="18"/>
    <x v="5"/>
    <x v="13"/>
    <n v="18000"/>
    <n v="11"/>
    <n v="10"/>
    <n v="20"/>
    <n v="178200"/>
    <n v="160074.25"/>
    <n v="18125.75"/>
    <s v="YES"/>
    <x v="1"/>
    <x v="2"/>
  </r>
  <r>
    <s v="ORD00212"/>
    <x v="44"/>
    <x v="2"/>
    <x v="3"/>
    <x v="1"/>
    <x v="1"/>
    <x v="1"/>
    <n v="1800"/>
    <n v="12"/>
    <n v="10"/>
    <n v="5"/>
    <n v="19440"/>
    <n v="17579.45"/>
    <n v="1860.5499999999993"/>
    <s v="NO"/>
    <x v="1"/>
    <x v="1"/>
  </r>
  <r>
    <s v="ORD00213"/>
    <x v="129"/>
    <x v="1"/>
    <x v="4"/>
    <x v="15"/>
    <x v="2"/>
    <x v="6"/>
    <n v="2500"/>
    <n v="8"/>
    <n v="5"/>
    <n v="0"/>
    <n v="19000"/>
    <n v="17916.66"/>
    <n v="1083.3400000000001"/>
    <s v="NO"/>
    <x v="1"/>
    <x v="1"/>
  </r>
  <r>
    <s v="ORD00214"/>
    <x v="31"/>
    <x v="2"/>
    <x v="4"/>
    <x v="19"/>
    <x v="0"/>
    <x v="12"/>
    <n v="3500"/>
    <n v="1"/>
    <n v="5"/>
    <n v="20"/>
    <n v="3325"/>
    <n v="3144.08"/>
    <n v="180.92000000000007"/>
    <s v="YES"/>
    <x v="1"/>
    <x v="2"/>
  </r>
  <r>
    <s v="ORD00215"/>
    <x v="89"/>
    <x v="1"/>
    <x v="1"/>
    <x v="0"/>
    <x v="0"/>
    <x v="0"/>
    <n v="6000"/>
    <n v="7"/>
    <n v="15"/>
    <n v="0"/>
    <n v="35700"/>
    <n v="33076.120000000003"/>
    <n v="2623.8799999999974"/>
    <s v="NO"/>
    <x v="1"/>
    <x v="1"/>
  </r>
  <r>
    <s v="ORD00216"/>
    <x v="113"/>
    <x v="1"/>
    <x v="1"/>
    <x v="23"/>
    <x v="0"/>
    <x v="12"/>
    <n v="7000"/>
    <n v="8"/>
    <n v="10"/>
    <n v="5"/>
    <n v="50400"/>
    <n v="47932.39"/>
    <n v="2467.6100000000006"/>
    <s v="NO"/>
    <x v="1"/>
    <x v="1"/>
  </r>
  <r>
    <s v="ORD00217"/>
    <x v="130"/>
    <x v="3"/>
    <x v="5"/>
    <x v="8"/>
    <x v="1"/>
    <x v="3"/>
    <n v="2800"/>
    <n v="15"/>
    <n v="10"/>
    <n v="15"/>
    <n v="37800"/>
    <n v="37203.11"/>
    <n v="596.88999999999942"/>
    <s v="YES"/>
    <x v="1"/>
    <x v="2"/>
  </r>
  <r>
    <s v="ORD00218"/>
    <x v="7"/>
    <x v="0"/>
    <x v="5"/>
    <x v="20"/>
    <x v="6"/>
    <x v="14"/>
    <n v="12000"/>
    <n v="2"/>
    <n v="5"/>
    <n v="15"/>
    <n v="22800"/>
    <n v="22388.18"/>
    <n v="411.81999999999971"/>
    <s v="YES"/>
    <x v="1"/>
    <x v="2"/>
  </r>
  <r>
    <s v="ORD00219"/>
    <x v="68"/>
    <x v="2"/>
    <x v="1"/>
    <x v="11"/>
    <x v="0"/>
    <x v="10"/>
    <n v="60000"/>
    <n v="11"/>
    <n v="15"/>
    <n v="20"/>
    <n v="561000"/>
    <n v="534823.1"/>
    <n v="26176.900000000023"/>
    <s v="YES"/>
    <x v="1"/>
    <x v="2"/>
  </r>
  <r>
    <s v="ORD00220"/>
    <x v="131"/>
    <x v="0"/>
    <x v="2"/>
    <x v="15"/>
    <x v="2"/>
    <x v="6"/>
    <n v="2500"/>
    <n v="9"/>
    <n v="10"/>
    <n v="5"/>
    <n v="20250"/>
    <n v="20088.8"/>
    <n v="161.20000000000073"/>
    <s v="NO"/>
    <x v="1"/>
    <x v="1"/>
  </r>
  <r>
    <s v="ORD00221"/>
    <x v="132"/>
    <x v="3"/>
    <x v="0"/>
    <x v="5"/>
    <x v="0"/>
    <x v="5"/>
    <n v="4500"/>
    <n v="7"/>
    <n v="10"/>
    <n v="20"/>
    <n v="28350"/>
    <n v="26997.599999999999"/>
    <n v="1352.4000000000015"/>
    <s v="YES"/>
    <x v="1"/>
    <x v="2"/>
  </r>
  <r>
    <s v="ORD00222"/>
    <x v="73"/>
    <x v="3"/>
    <x v="2"/>
    <x v="21"/>
    <x v="6"/>
    <x v="14"/>
    <n v="3500"/>
    <n v="10"/>
    <n v="5"/>
    <n v="25"/>
    <n v="33250"/>
    <n v="33746.36"/>
    <n v="-496.36000000000058"/>
    <s v="YES"/>
    <x v="0"/>
    <x v="2"/>
  </r>
  <r>
    <s v="ORD00223"/>
    <x v="100"/>
    <x v="2"/>
    <x v="5"/>
    <x v="7"/>
    <x v="2"/>
    <x v="7"/>
    <n v="18000"/>
    <n v="4"/>
    <n v="10"/>
    <n v="10"/>
    <n v="64800"/>
    <n v="65009.760000000002"/>
    <n v="-209.76000000000204"/>
    <s v="NO"/>
    <x v="0"/>
    <x v="0"/>
  </r>
  <r>
    <s v="ORD00224"/>
    <x v="124"/>
    <x v="1"/>
    <x v="5"/>
    <x v="17"/>
    <x v="1"/>
    <x v="1"/>
    <n v="1200"/>
    <n v="4"/>
    <n v="10"/>
    <n v="15"/>
    <n v="4320"/>
    <n v="4053.8"/>
    <n v="266.19999999999982"/>
    <s v="YES"/>
    <x v="1"/>
    <x v="2"/>
  </r>
  <r>
    <s v="ORD00225"/>
    <x v="133"/>
    <x v="1"/>
    <x v="0"/>
    <x v="6"/>
    <x v="2"/>
    <x v="6"/>
    <n v="4500"/>
    <n v="9"/>
    <n v="15"/>
    <n v="20"/>
    <n v="34425"/>
    <n v="34387.07"/>
    <n v="37.930000000000291"/>
    <s v="YES"/>
    <x v="1"/>
    <x v="2"/>
  </r>
  <r>
    <s v="ORD00226"/>
    <x v="91"/>
    <x v="2"/>
    <x v="3"/>
    <x v="19"/>
    <x v="0"/>
    <x v="12"/>
    <n v="3500"/>
    <n v="11"/>
    <n v="5"/>
    <n v="25"/>
    <n v="36575"/>
    <n v="33377.78"/>
    <n v="3197.2200000000012"/>
    <s v="YES"/>
    <x v="1"/>
    <x v="2"/>
  </r>
  <r>
    <s v="ORD00227"/>
    <x v="115"/>
    <x v="3"/>
    <x v="2"/>
    <x v="14"/>
    <x v="1"/>
    <x v="2"/>
    <n v="6500"/>
    <n v="6"/>
    <n v="10"/>
    <n v="5"/>
    <n v="35100"/>
    <n v="36070.42"/>
    <n v="-970.41999999999825"/>
    <s v="NO"/>
    <x v="0"/>
    <x v="0"/>
  </r>
  <r>
    <s v="ORD00228"/>
    <x v="98"/>
    <x v="0"/>
    <x v="4"/>
    <x v="19"/>
    <x v="0"/>
    <x v="12"/>
    <n v="3500"/>
    <n v="8"/>
    <n v="15"/>
    <n v="20"/>
    <n v="23800"/>
    <n v="22603.81"/>
    <n v="1196.1899999999987"/>
    <s v="YES"/>
    <x v="1"/>
    <x v="2"/>
  </r>
  <r>
    <s v="ORD00229"/>
    <x v="45"/>
    <x v="1"/>
    <x v="4"/>
    <x v="8"/>
    <x v="1"/>
    <x v="3"/>
    <n v="2800"/>
    <n v="5"/>
    <n v="10"/>
    <n v="25"/>
    <n v="12600"/>
    <n v="11608.88"/>
    <n v="991.1200000000008"/>
    <s v="YES"/>
    <x v="1"/>
    <x v="2"/>
  </r>
  <r>
    <s v="ORD00230"/>
    <x v="43"/>
    <x v="0"/>
    <x v="3"/>
    <x v="6"/>
    <x v="2"/>
    <x v="6"/>
    <n v="4500"/>
    <n v="5"/>
    <n v="5"/>
    <n v="15"/>
    <n v="21375"/>
    <n v="19392.310000000001"/>
    <n v="1982.6899999999987"/>
    <s v="YES"/>
    <x v="1"/>
    <x v="2"/>
  </r>
  <r>
    <s v="ORD00231"/>
    <x v="82"/>
    <x v="0"/>
    <x v="3"/>
    <x v="0"/>
    <x v="0"/>
    <x v="0"/>
    <n v="6000"/>
    <n v="3"/>
    <n v="15"/>
    <n v="20"/>
    <n v="15300"/>
    <n v="15064.26"/>
    <n v="235.73999999999978"/>
    <s v="YES"/>
    <x v="1"/>
    <x v="2"/>
  </r>
  <r>
    <s v="ORD00232"/>
    <x v="19"/>
    <x v="1"/>
    <x v="0"/>
    <x v="12"/>
    <x v="4"/>
    <x v="11"/>
    <n v="8000"/>
    <n v="14"/>
    <n v="5"/>
    <n v="0"/>
    <n v="106400"/>
    <n v="103189.75999999999"/>
    <n v="3210.2400000000052"/>
    <s v="NO"/>
    <x v="1"/>
    <x v="1"/>
  </r>
  <r>
    <s v="ORD00233"/>
    <x v="22"/>
    <x v="1"/>
    <x v="5"/>
    <x v="5"/>
    <x v="0"/>
    <x v="5"/>
    <n v="4500"/>
    <n v="5"/>
    <n v="15"/>
    <n v="20"/>
    <n v="19125"/>
    <n v="19196.84"/>
    <n v="-71.840000000000146"/>
    <s v="YES"/>
    <x v="0"/>
    <x v="2"/>
  </r>
  <r>
    <s v="ORD00234"/>
    <x v="8"/>
    <x v="1"/>
    <x v="5"/>
    <x v="19"/>
    <x v="0"/>
    <x v="12"/>
    <n v="3500"/>
    <n v="8"/>
    <n v="5"/>
    <n v="20"/>
    <n v="26600"/>
    <n v="23831.919999999998"/>
    <n v="2768.0800000000017"/>
    <s v="YES"/>
    <x v="1"/>
    <x v="2"/>
  </r>
  <r>
    <s v="ORD00235"/>
    <x v="118"/>
    <x v="1"/>
    <x v="1"/>
    <x v="0"/>
    <x v="0"/>
    <x v="0"/>
    <n v="6000"/>
    <n v="13"/>
    <n v="10"/>
    <n v="20"/>
    <n v="70200"/>
    <n v="65926.33"/>
    <n v="4273.6699999999983"/>
    <s v="YES"/>
    <x v="1"/>
    <x v="2"/>
  </r>
  <r>
    <s v="ORD00236"/>
    <x v="133"/>
    <x v="1"/>
    <x v="5"/>
    <x v="23"/>
    <x v="0"/>
    <x v="12"/>
    <n v="7000"/>
    <n v="7"/>
    <n v="15"/>
    <n v="5"/>
    <n v="41650"/>
    <n v="41697.47"/>
    <n v="-47.470000000001164"/>
    <s v="NO"/>
    <x v="0"/>
    <x v="0"/>
  </r>
  <r>
    <s v="ORD00237"/>
    <x v="83"/>
    <x v="1"/>
    <x v="0"/>
    <x v="6"/>
    <x v="2"/>
    <x v="6"/>
    <n v="4500"/>
    <n v="4"/>
    <n v="15"/>
    <n v="20"/>
    <n v="15300"/>
    <n v="15799.3"/>
    <n v="-499.29999999999927"/>
    <s v="YES"/>
    <x v="0"/>
    <x v="2"/>
  </r>
  <r>
    <s v="ORD00238"/>
    <x v="21"/>
    <x v="2"/>
    <x v="1"/>
    <x v="1"/>
    <x v="1"/>
    <x v="1"/>
    <n v="1800"/>
    <n v="7"/>
    <n v="15"/>
    <n v="20"/>
    <n v="10710"/>
    <n v="10009.39"/>
    <n v="700.61000000000058"/>
    <s v="YES"/>
    <x v="1"/>
    <x v="2"/>
  </r>
  <r>
    <s v="ORD00239"/>
    <x v="25"/>
    <x v="2"/>
    <x v="2"/>
    <x v="6"/>
    <x v="2"/>
    <x v="6"/>
    <n v="4500"/>
    <n v="14"/>
    <n v="5"/>
    <n v="5"/>
    <n v="59850"/>
    <n v="56643.02"/>
    <n v="3206.9800000000032"/>
    <s v="NO"/>
    <x v="1"/>
    <x v="1"/>
  </r>
  <r>
    <s v="ORD00240"/>
    <x v="134"/>
    <x v="0"/>
    <x v="2"/>
    <x v="22"/>
    <x v="0"/>
    <x v="10"/>
    <n v="35000"/>
    <n v="12"/>
    <n v="5"/>
    <n v="5"/>
    <n v="399000"/>
    <n v="345522.55"/>
    <n v="53477.450000000012"/>
    <s v="NO"/>
    <x v="1"/>
    <x v="1"/>
  </r>
  <r>
    <s v="ORD00241"/>
    <x v="0"/>
    <x v="3"/>
    <x v="5"/>
    <x v="4"/>
    <x v="2"/>
    <x v="4"/>
    <n v="15000"/>
    <n v="14"/>
    <n v="5"/>
    <n v="25"/>
    <n v="199500"/>
    <n v="187889.76"/>
    <n v="11610.239999999991"/>
    <s v="YES"/>
    <x v="1"/>
    <x v="2"/>
  </r>
  <r>
    <s v="ORD00242"/>
    <x v="97"/>
    <x v="0"/>
    <x v="5"/>
    <x v="0"/>
    <x v="0"/>
    <x v="0"/>
    <n v="6000"/>
    <n v="9"/>
    <n v="5"/>
    <n v="5"/>
    <n v="51300"/>
    <n v="48079.68"/>
    <n v="3220.3199999999997"/>
    <s v="NO"/>
    <x v="1"/>
    <x v="1"/>
  </r>
  <r>
    <s v="ORD00243"/>
    <x v="127"/>
    <x v="2"/>
    <x v="1"/>
    <x v="20"/>
    <x v="6"/>
    <x v="14"/>
    <n v="12000"/>
    <n v="13"/>
    <n v="5"/>
    <n v="5"/>
    <n v="148200"/>
    <n v="137243.9"/>
    <n v="10956.100000000006"/>
    <s v="NO"/>
    <x v="1"/>
    <x v="1"/>
  </r>
  <r>
    <s v="ORD00244"/>
    <x v="40"/>
    <x v="0"/>
    <x v="1"/>
    <x v="17"/>
    <x v="1"/>
    <x v="1"/>
    <n v="1200"/>
    <n v="8"/>
    <n v="15"/>
    <n v="10"/>
    <n v="8160"/>
    <n v="8445.86"/>
    <n v="-285.86000000000058"/>
    <s v="NO"/>
    <x v="0"/>
    <x v="0"/>
  </r>
  <r>
    <s v="ORD00245"/>
    <x v="42"/>
    <x v="3"/>
    <x v="3"/>
    <x v="15"/>
    <x v="2"/>
    <x v="6"/>
    <n v="2500"/>
    <n v="1"/>
    <n v="10"/>
    <n v="5"/>
    <n v="2250"/>
    <n v="2345.88"/>
    <n v="-95.880000000000109"/>
    <s v="NO"/>
    <x v="0"/>
    <x v="0"/>
  </r>
  <r>
    <s v="ORD00246"/>
    <x v="63"/>
    <x v="0"/>
    <x v="1"/>
    <x v="16"/>
    <x v="1"/>
    <x v="3"/>
    <n v="1500"/>
    <n v="4"/>
    <n v="15"/>
    <n v="0"/>
    <n v="5100"/>
    <n v="5020.59"/>
    <n v="79.409999999999854"/>
    <s v="NO"/>
    <x v="1"/>
    <x v="1"/>
  </r>
  <r>
    <s v="ORD00247"/>
    <x v="36"/>
    <x v="1"/>
    <x v="0"/>
    <x v="15"/>
    <x v="2"/>
    <x v="6"/>
    <n v="2500"/>
    <n v="12"/>
    <n v="5"/>
    <n v="20"/>
    <n v="28500"/>
    <n v="27353.56"/>
    <n v="1146.4399999999987"/>
    <s v="YES"/>
    <x v="1"/>
    <x v="2"/>
  </r>
  <r>
    <s v="ORD00248"/>
    <x v="104"/>
    <x v="3"/>
    <x v="2"/>
    <x v="10"/>
    <x v="1"/>
    <x v="9"/>
    <n v="1200"/>
    <n v="9"/>
    <n v="10"/>
    <n v="25"/>
    <n v="9720"/>
    <n v="8422.59"/>
    <n v="1297.4099999999999"/>
    <s v="YES"/>
    <x v="1"/>
    <x v="2"/>
  </r>
  <r>
    <s v="ORD00249"/>
    <x v="1"/>
    <x v="1"/>
    <x v="5"/>
    <x v="19"/>
    <x v="0"/>
    <x v="12"/>
    <n v="3500"/>
    <n v="3"/>
    <n v="5"/>
    <n v="0"/>
    <n v="9975"/>
    <n v="9720.23"/>
    <n v="254.77000000000044"/>
    <s v="NO"/>
    <x v="1"/>
    <x v="1"/>
  </r>
  <r>
    <s v="ORD00250"/>
    <x v="1"/>
    <x v="1"/>
    <x v="5"/>
    <x v="22"/>
    <x v="0"/>
    <x v="10"/>
    <n v="35000"/>
    <n v="3"/>
    <n v="5"/>
    <n v="15"/>
    <n v="99750"/>
    <n v="86031.32"/>
    <n v="13718.679999999993"/>
    <s v="YES"/>
    <x v="1"/>
    <x v="2"/>
  </r>
  <r>
    <s v="ORD00251"/>
    <x v="11"/>
    <x v="0"/>
    <x v="5"/>
    <x v="10"/>
    <x v="1"/>
    <x v="9"/>
    <n v="1200"/>
    <n v="14"/>
    <n v="5"/>
    <n v="15"/>
    <n v="15960"/>
    <n v="16345.97"/>
    <n v="-385.96999999999935"/>
    <s v="YES"/>
    <x v="0"/>
    <x v="2"/>
  </r>
  <r>
    <s v="ORD00252"/>
    <x v="81"/>
    <x v="3"/>
    <x v="5"/>
    <x v="14"/>
    <x v="1"/>
    <x v="2"/>
    <n v="6500"/>
    <n v="2"/>
    <n v="5"/>
    <n v="5"/>
    <n v="12350"/>
    <n v="10862.26"/>
    <n v="1487.7399999999998"/>
    <s v="NO"/>
    <x v="1"/>
    <x v="1"/>
  </r>
  <r>
    <s v="ORD00253"/>
    <x v="135"/>
    <x v="2"/>
    <x v="1"/>
    <x v="14"/>
    <x v="1"/>
    <x v="2"/>
    <n v="6500"/>
    <n v="13"/>
    <n v="15"/>
    <n v="5"/>
    <n v="71825"/>
    <n v="63392.45"/>
    <n v="8432.5500000000029"/>
    <s v="NO"/>
    <x v="1"/>
    <x v="1"/>
  </r>
  <r>
    <s v="ORD00254"/>
    <x v="136"/>
    <x v="2"/>
    <x v="0"/>
    <x v="8"/>
    <x v="1"/>
    <x v="3"/>
    <n v="2800"/>
    <n v="15"/>
    <n v="5"/>
    <n v="15"/>
    <n v="39900"/>
    <n v="40038.870000000003"/>
    <n v="-138.87000000000262"/>
    <s v="YES"/>
    <x v="0"/>
    <x v="2"/>
  </r>
  <r>
    <s v="ORD00255"/>
    <x v="137"/>
    <x v="2"/>
    <x v="2"/>
    <x v="4"/>
    <x v="2"/>
    <x v="4"/>
    <n v="15000"/>
    <n v="12"/>
    <n v="15"/>
    <n v="10"/>
    <n v="153000"/>
    <n v="148106.70000000001"/>
    <n v="4893.2999999999884"/>
    <s v="NO"/>
    <x v="1"/>
    <x v="1"/>
  </r>
  <r>
    <s v="ORD00256"/>
    <x v="23"/>
    <x v="0"/>
    <x v="0"/>
    <x v="13"/>
    <x v="0"/>
    <x v="12"/>
    <n v="8000"/>
    <n v="8"/>
    <n v="15"/>
    <n v="25"/>
    <n v="54400"/>
    <n v="50505.11"/>
    <n v="3894.8899999999994"/>
    <s v="YES"/>
    <x v="1"/>
    <x v="2"/>
  </r>
  <r>
    <s v="ORD00257"/>
    <x v="36"/>
    <x v="0"/>
    <x v="0"/>
    <x v="5"/>
    <x v="0"/>
    <x v="5"/>
    <n v="4500"/>
    <n v="14"/>
    <n v="10"/>
    <n v="10"/>
    <n v="56700"/>
    <n v="56303.5"/>
    <n v="396.5"/>
    <s v="NO"/>
    <x v="1"/>
    <x v="1"/>
  </r>
  <r>
    <s v="ORD00258"/>
    <x v="23"/>
    <x v="0"/>
    <x v="1"/>
    <x v="18"/>
    <x v="5"/>
    <x v="13"/>
    <n v="18000"/>
    <n v="1"/>
    <n v="15"/>
    <n v="5"/>
    <n v="15300"/>
    <n v="14881.81"/>
    <n v="418.19000000000051"/>
    <s v="NO"/>
    <x v="1"/>
    <x v="1"/>
  </r>
  <r>
    <s v="ORD00259"/>
    <x v="37"/>
    <x v="1"/>
    <x v="5"/>
    <x v="6"/>
    <x v="2"/>
    <x v="6"/>
    <n v="4500"/>
    <n v="9"/>
    <n v="10"/>
    <n v="20"/>
    <n v="36450"/>
    <n v="35048.21"/>
    <n v="1401.7900000000009"/>
    <s v="YES"/>
    <x v="1"/>
    <x v="2"/>
  </r>
  <r>
    <s v="ORD00260"/>
    <x v="38"/>
    <x v="1"/>
    <x v="4"/>
    <x v="3"/>
    <x v="1"/>
    <x v="3"/>
    <n v="500"/>
    <n v="13"/>
    <n v="10"/>
    <n v="20"/>
    <n v="5850"/>
    <n v="5976.72"/>
    <n v="-126.72000000000025"/>
    <s v="YES"/>
    <x v="0"/>
    <x v="2"/>
  </r>
  <r>
    <s v="ORD00261"/>
    <x v="12"/>
    <x v="1"/>
    <x v="3"/>
    <x v="12"/>
    <x v="4"/>
    <x v="11"/>
    <n v="8000"/>
    <n v="12"/>
    <n v="5"/>
    <n v="0"/>
    <n v="91200"/>
    <n v="86769.83"/>
    <n v="4430.1699999999983"/>
    <s v="NO"/>
    <x v="1"/>
    <x v="1"/>
  </r>
  <r>
    <s v="ORD00262"/>
    <x v="121"/>
    <x v="3"/>
    <x v="5"/>
    <x v="0"/>
    <x v="0"/>
    <x v="0"/>
    <n v="6000"/>
    <n v="1"/>
    <n v="15"/>
    <n v="25"/>
    <n v="5100"/>
    <n v="4715.74"/>
    <n v="384.26000000000022"/>
    <s v="YES"/>
    <x v="1"/>
    <x v="2"/>
  </r>
  <r>
    <s v="ORD00263"/>
    <x v="95"/>
    <x v="2"/>
    <x v="2"/>
    <x v="14"/>
    <x v="1"/>
    <x v="2"/>
    <n v="6500"/>
    <n v="6"/>
    <n v="5"/>
    <n v="0"/>
    <n v="37050"/>
    <n v="37373.83"/>
    <n v="-323.83000000000175"/>
    <s v="NO"/>
    <x v="0"/>
    <x v="0"/>
  </r>
  <r>
    <s v="ORD00264"/>
    <x v="137"/>
    <x v="0"/>
    <x v="4"/>
    <x v="23"/>
    <x v="0"/>
    <x v="12"/>
    <n v="7000"/>
    <n v="8"/>
    <n v="5"/>
    <n v="10"/>
    <n v="53200"/>
    <n v="46052.01"/>
    <n v="7147.989999999998"/>
    <s v="YES"/>
    <x v="1"/>
    <x v="2"/>
  </r>
  <r>
    <s v="ORD00265"/>
    <x v="97"/>
    <x v="3"/>
    <x v="1"/>
    <x v="6"/>
    <x v="2"/>
    <x v="6"/>
    <n v="4500"/>
    <n v="8"/>
    <n v="15"/>
    <n v="15"/>
    <n v="30600"/>
    <n v="30423.27"/>
    <n v="176.72999999999956"/>
    <s v="NO"/>
    <x v="1"/>
    <x v="1"/>
  </r>
  <r>
    <s v="ORD00266"/>
    <x v="90"/>
    <x v="0"/>
    <x v="5"/>
    <x v="1"/>
    <x v="1"/>
    <x v="1"/>
    <n v="1800"/>
    <n v="2"/>
    <n v="5"/>
    <n v="25"/>
    <n v="3420"/>
    <n v="3497.92"/>
    <n v="-77.920000000000073"/>
    <s v="YES"/>
    <x v="0"/>
    <x v="2"/>
  </r>
  <r>
    <s v="ORD00267"/>
    <x v="124"/>
    <x v="3"/>
    <x v="3"/>
    <x v="19"/>
    <x v="0"/>
    <x v="12"/>
    <n v="3500"/>
    <n v="2"/>
    <n v="5"/>
    <n v="5"/>
    <n v="6650"/>
    <n v="6372.35"/>
    <n v="277.64999999999964"/>
    <s v="NO"/>
    <x v="1"/>
    <x v="1"/>
  </r>
  <r>
    <s v="ORD00268"/>
    <x v="135"/>
    <x v="0"/>
    <x v="4"/>
    <x v="0"/>
    <x v="0"/>
    <x v="0"/>
    <n v="6000"/>
    <n v="1"/>
    <n v="10"/>
    <n v="15"/>
    <n v="5400"/>
    <n v="5130.6499999999996"/>
    <n v="269.35000000000036"/>
    <s v="YES"/>
    <x v="1"/>
    <x v="2"/>
  </r>
  <r>
    <s v="ORD00269"/>
    <x v="62"/>
    <x v="2"/>
    <x v="3"/>
    <x v="22"/>
    <x v="0"/>
    <x v="10"/>
    <n v="35000"/>
    <n v="3"/>
    <n v="5"/>
    <n v="20"/>
    <n v="99750"/>
    <n v="95616.44"/>
    <n v="4133.5599999999977"/>
    <s v="YES"/>
    <x v="1"/>
    <x v="2"/>
  </r>
  <r>
    <s v="ORD00270"/>
    <x v="10"/>
    <x v="3"/>
    <x v="4"/>
    <x v="11"/>
    <x v="0"/>
    <x v="10"/>
    <n v="60000"/>
    <n v="13"/>
    <n v="10"/>
    <n v="0"/>
    <n v="702000"/>
    <n v="720272.37"/>
    <n v="-18272.369999999995"/>
    <s v="NO"/>
    <x v="0"/>
    <x v="0"/>
  </r>
  <r>
    <s v="ORD00271"/>
    <x v="97"/>
    <x v="1"/>
    <x v="3"/>
    <x v="7"/>
    <x v="2"/>
    <x v="7"/>
    <n v="18000"/>
    <n v="10"/>
    <n v="10"/>
    <n v="25"/>
    <n v="162000"/>
    <n v="168482.63"/>
    <n v="-6482.6300000000047"/>
    <s v="YES"/>
    <x v="0"/>
    <x v="2"/>
  </r>
  <r>
    <s v="ORD00272"/>
    <x v="3"/>
    <x v="3"/>
    <x v="4"/>
    <x v="21"/>
    <x v="6"/>
    <x v="14"/>
    <n v="3500"/>
    <n v="5"/>
    <n v="5"/>
    <n v="20"/>
    <n v="16625"/>
    <n v="14209.36"/>
    <n v="2415.6399999999994"/>
    <s v="YES"/>
    <x v="1"/>
    <x v="2"/>
  </r>
  <r>
    <s v="ORD00273"/>
    <x v="29"/>
    <x v="3"/>
    <x v="1"/>
    <x v="1"/>
    <x v="1"/>
    <x v="1"/>
    <n v="1800"/>
    <n v="15"/>
    <n v="10"/>
    <n v="15"/>
    <n v="24300"/>
    <n v="25088.43"/>
    <n v="-788.43000000000029"/>
    <s v="YES"/>
    <x v="0"/>
    <x v="2"/>
  </r>
  <r>
    <s v="ORD00274"/>
    <x v="138"/>
    <x v="0"/>
    <x v="3"/>
    <x v="9"/>
    <x v="3"/>
    <x v="8"/>
    <n v="4000"/>
    <n v="13"/>
    <n v="10"/>
    <n v="5"/>
    <n v="46800"/>
    <n v="47625.05"/>
    <n v="-825.05000000000291"/>
    <s v="NO"/>
    <x v="0"/>
    <x v="0"/>
  </r>
  <r>
    <s v="ORD00275"/>
    <x v="82"/>
    <x v="2"/>
    <x v="0"/>
    <x v="22"/>
    <x v="0"/>
    <x v="10"/>
    <n v="35000"/>
    <n v="11"/>
    <n v="15"/>
    <n v="10"/>
    <n v="327250"/>
    <n v="307876.06"/>
    <n v="19373.940000000002"/>
    <s v="NO"/>
    <x v="1"/>
    <x v="1"/>
  </r>
  <r>
    <s v="ORD00276"/>
    <x v="32"/>
    <x v="2"/>
    <x v="1"/>
    <x v="12"/>
    <x v="4"/>
    <x v="11"/>
    <n v="8000"/>
    <n v="14"/>
    <n v="10"/>
    <n v="0"/>
    <n v="100800"/>
    <n v="96072.62"/>
    <n v="4727.3800000000047"/>
    <s v="NO"/>
    <x v="1"/>
    <x v="1"/>
  </r>
  <r>
    <s v="ORD00277"/>
    <x v="62"/>
    <x v="0"/>
    <x v="3"/>
    <x v="23"/>
    <x v="0"/>
    <x v="12"/>
    <n v="7000"/>
    <n v="14"/>
    <n v="5"/>
    <n v="15"/>
    <n v="93100"/>
    <n v="85347.72"/>
    <n v="7752.2799999999988"/>
    <s v="YES"/>
    <x v="1"/>
    <x v="2"/>
  </r>
  <r>
    <s v="ORD00278"/>
    <x v="42"/>
    <x v="0"/>
    <x v="4"/>
    <x v="18"/>
    <x v="5"/>
    <x v="13"/>
    <n v="18000"/>
    <n v="11"/>
    <n v="10"/>
    <n v="10"/>
    <n v="178200"/>
    <n v="181005.69"/>
    <n v="-2805.6900000000023"/>
    <s v="NO"/>
    <x v="0"/>
    <x v="0"/>
  </r>
  <r>
    <s v="ORD00279"/>
    <x v="42"/>
    <x v="0"/>
    <x v="0"/>
    <x v="0"/>
    <x v="0"/>
    <x v="0"/>
    <n v="6000"/>
    <n v="11"/>
    <n v="5"/>
    <n v="10"/>
    <n v="62700"/>
    <n v="65738.259999999995"/>
    <n v="-3038.2599999999948"/>
    <s v="YES"/>
    <x v="0"/>
    <x v="2"/>
  </r>
  <r>
    <s v="ORD00280"/>
    <x v="129"/>
    <x v="2"/>
    <x v="3"/>
    <x v="22"/>
    <x v="0"/>
    <x v="10"/>
    <n v="35000"/>
    <n v="13"/>
    <n v="10"/>
    <n v="25"/>
    <n v="409500"/>
    <n v="403920.71"/>
    <n v="5579.289999999979"/>
    <s v="YES"/>
    <x v="1"/>
    <x v="2"/>
  </r>
  <r>
    <s v="ORD00281"/>
    <x v="103"/>
    <x v="0"/>
    <x v="1"/>
    <x v="12"/>
    <x v="4"/>
    <x v="11"/>
    <n v="8000"/>
    <n v="6"/>
    <n v="15"/>
    <n v="15"/>
    <n v="40800"/>
    <n v="41471.129999999997"/>
    <n v="-671.12999999999738"/>
    <s v="NO"/>
    <x v="0"/>
    <x v="0"/>
  </r>
  <r>
    <s v="ORD00282"/>
    <x v="129"/>
    <x v="2"/>
    <x v="3"/>
    <x v="15"/>
    <x v="2"/>
    <x v="6"/>
    <n v="2500"/>
    <n v="5"/>
    <n v="5"/>
    <n v="15"/>
    <n v="11875"/>
    <n v="10940.06"/>
    <n v="934.94000000000051"/>
    <s v="YES"/>
    <x v="1"/>
    <x v="2"/>
  </r>
  <r>
    <s v="ORD00283"/>
    <x v="139"/>
    <x v="0"/>
    <x v="4"/>
    <x v="20"/>
    <x v="6"/>
    <x v="14"/>
    <n v="12000"/>
    <n v="7"/>
    <n v="15"/>
    <n v="0"/>
    <n v="71400"/>
    <n v="73756.55"/>
    <n v="-2356.5500000000029"/>
    <s v="NO"/>
    <x v="0"/>
    <x v="0"/>
  </r>
  <r>
    <s v="ORD00284"/>
    <x v="48"/>
    <x v="0"/>
    <x v="4"/>
    <x v="7"/>
    <x v="2"/>
    <x v="7"/>
    <n v="18000"/>
    <n v="7"/>
    <n v="5"/>
    <n v="5"/>
    <n v="119700"/>
    <n v="116755.47"/>
    <n v="2944.5299999999988"/>
    <s v="NO"/>
    <x v="1"/>
    <x v="1"/>
  </r>
  <r>
    <s v="ORD00285"/>
    <x v="139"/>
    <x v="2"/>
    <x v="0"/>
    <x v="15"/>
    <x v="2"/>
    <x v="6"/>
    <n v="2500"/>
    <n v="9"/>
    <n v="15"/>
    <n v="5"/>
    <n v="19125"/>
    <n v="17045.11"/>
    <n v="2079.8899999999994"/>
    <s v="NO"/>
    <x v="1"/>
    <x v="1"/>
  </r>
  <r>
    <s v="ORD00286"/>
    <x v="93"/>
    <x v="3"/>
    <x v="4"/>
    <x v="15"/>
    <x v="2"/>
    <x v="6"/>
    <n v="2500"/>
    <n v="2"/>
    <n v="15"/>
    <n v="20"/>
    <n v="4250"/>
    <n v="3939.64"/>
    <n v="310.36000000000013"/>
    <s v="YES"/>
    <x v="1"/>
    <x v="2"/>
  </r>
  <r>
    <s v="ORD00287"/>
    <x v="118"/>
    <x v="0"/>
    <x v="3"/>
    <x v="8"/>
    <x v="1"/>
    <x v="3"/>
    <n v="2800"/>
    <n v="11"/>
    <n v="15"/>
    <n v="10"/>
    <n v="26180"/>
    <n v="27229.02"/>
    <n v="-1049.0200000000004"/>
    <s v="NO"/>
    <x v="0"/>
    <x v="0"/>
  </r>
  <r>
    <s v="ORD00288"/>
    <x v="97"/>
    <x v="3"/>
    <x v="0"/>
    <x v="3"/>
    <x v="1"/>
    <x v="3"/>
    <n v="500"/>
    <n v="4"/>
    <n v="10"/>
    <n v="15"/>
    <n v="1800"/>
    <n v="1619.04"/>
    <n v="180.96000000000004"/>
    <s v="YES"/>
    <x v="1"/>
    <x v="2"/>
  </r>
  <r>
    <s v="ORD00289"/>
    <x v="104"/>
    <x v="3"/>
    <x v="3"/>
    <x v="5"/>
    <x v="0"/>
    <x v="5"/>
    <n v="4500"/>
    <n v="2"/>
    <n v="15"/>
    <n v="20"/>
    <n v="7650"/>
    <n v="7742.03"/>
    <n v="-92.029999999999745"/>
    <s v="YES"/>
    <x v="0"/>
    <x v="2"/>
  </r>
  <r>
    <s v="ORD00290"/>
    <x v="39"/>
    <x v="3"/>
    <x v="5"/>
    <x v="14"/>
    <x v="1"/>
    <x v="2"/>
    <n v="6500"/>
    <n v="2"/>
    <n v="10"/>
    <n v="20"/>
    <n v="11700"/>
    <n v="11021.74"/>
    <n v="678.26000000000022"/>
    <s v="YES"/>
    <x v="1"/>
    <x v="2"/>
  </r>
  <r>
    <s v="ORD00291"/>
    <x v="140"/>
    <x v="3"/>
    <x v="5"/>
    <x v="23"/>
    <x v="0"/>
    <x v="12"/>
    <n v="7000"/>
    <n v="2"/>
    <n v="5"/>
    <n v="0"/>
    <n v="13300"/>
    <n v="11938.66"/>
    <n v="1361.3400000000001"/>
    <s v="NO"/>
    <x v="1"/>
    <x v="1"/>
  </r>
  <r>
    <s v="ORD00292"/>
    <x v="10"/>
    <x v="0"/>
    <x v="3"/>
    <x v="0"/>
    <x v="0"/>
    <x v="0"/>
    <n v="6000"/>
    <n v="10"/>
    <n v="10"/>
    <n v="10"/>
    <n v="54000"/>
    <n v="55931.82"/>
    <n v="-1931.8199999999997"/>
    <s v="NO"/>
    <x v="0"/>
    <x v="0"/>
  </r>
  <r>
    <s v="ORD00293"/>
    <x v="141"/>
    <x v="0"/>
    <x v="1"/>
    <x v="9"/>
    <x v="3"/>
    <x v="8"/>
    <n v="4000"/>
    <n v="3"/>
    <n v="5"/>
    <n v="10"/>
    <n v="11400"/>
    <n v="10025.450000000001"/>
    <n v="1374.5499999999993"/>
    <s v="YES"/>
    <x v="1"/>
    <x v="2"/>
  </r>
  <r>
    <s v="ORD00294"/>
    <x v="29"/>
    <x v="0"/>
    <x v="0"/>
    <x v="21"/>
    <x v="6"/>
    <x v="14"/>
    <n v="3500"/>
    <n v="11"/>
    <n v="10"/>
    <n v="5"/>
    <n v="34650"/>
    <n v="30607.040000000001"/>
    <n v="4042.9599999999991"/>
    <s v="NO"/>
    <x v="1"/>
    <x v="1"/>
  </r>
  <r>
    <s v="ORD00295"/>
    <x v="122"/>
    <x v="3"/>
    <x v="5"/>
    <x v="13"/>
    <x v="0"/>
    <x v="12"/>
    <n v="8000"/>
    <n v="7"/>
    <n v="5"/>
    <n v="10"/>
    <n v="53200"/>
    <n v="50337.09"/>
    <n v="2862.9100000000035"/>
    <s v="YES"/>
    <x v="1"/>
    <x v="2"/>
  </r>
  <r>
    <s v="ORD00296"/>
    <x v="107"/>
    <x v="2"/>
    <x v="1"/>
    <x v="14"/>
    <x v="1"/>
    <x v="2"/>
    <n v="6500"/>
    <n v="14"/>
    <n v="10"/>
    <n v="10"/>
    <n v="81900"/>
    <n v="75492.53"/>
    <n v="6407.4700000000012"/>
    <s v="NO"/>
    <x v="1"/>
    <x v="1"/>
  </r>
  <r>
    <s v="ORD00297"/>
    <x v="95"/>
    <x v="0"/>
    <x v="3"/>
    <x v="17"/>
    <x v="1"/>
    <x v="1"/>
    <n v="1200"/>
    <n v="1"/>
    <n v="10"/>
    <n v="5"/>
    <n v="1080"/>
    <n v="959.17"/>
    <n v="120.83000000000004"/>
    <s v="NO"/>
    <x v="1"/>
    <x v="1"/>
  </r>
  <r>
    <s v="ORD00298"/>
    <x v="139"/>
    <x v="3"/>
    <x v="4"/>
    <x v="2"/>
    <x v="1"/>
    <x v="2"/>
    <n v="1200"/>
    <n v="10"/>
    <n v="15"/>
    <n v="20"/>
    <n v="10200"/>
    <n v="10032.85"/>
    <n v="167.14999999999964"/>
    <s v="YES"/>
    <x v="1"/>
    <x v="2"/>
  </r>
  <r>
    <s v="ORD00299"/>
    <x v="66"/>
    <x v="3"/>
    <x v="3"/>
    <x v="16"/>
    <x v="1"/>
    <x v="3"/>
    <n v="1500"/>
    <n v="6"/>
    <n v="5"/>
    <n v="10"/>
    <n v="8550"/>
    <n v="8977.31"/>
    <n v="-427.30999999999949"/>
    <s v="YES"/>
    <x v="0"/>
    <x v="2"/>
  </r>
  <r>
    <s v="ORD00300"/>
    <x v="68"/>
    <x v="1"/>
    <x v="1"/>
    <x v="3"/>
    <x v="1"/>
    <x v="3"/>
    <n v="500"/>
    <n v="13"/>
    <n v="10"/>
    <n v="5"/>
    <n v="5850"/>
    <n v="5085.3900000000003"/>
    <n v="764.60999999999967"/>
    <s v="NO"/>
    <x v="1"/>
    <x v="1"/>
  </r>
  <r>
    <s v="ORD00301"/>
    <x v="142"/>
    <x v="0"/>
    <x v="5"/>
    <x v="8"/>
    <x v="1"/>
    <x v="3"/>
    <n v="2800"/>
    <n v="5"/>
    <n v="10"/>
    <n v="15"/>
    <n v="12600"/>
    <n v="12052.4"/>
    <n v="547.60000000000036"/>
    <s v="YES"/>
    <x v="1"/>
    <x v="2"/>
  </r>
  <r>
    <s v="ORD00302"/>
    <x v="66"/>
    <x v="1"/>
    <x v="4"/>
    <x v="10"/>
    <x v="1"/>
    <x v="9"/>
    <n v="1200"/>
    <n v="12"/>
    <n v="15"/>
    <n v="15"/>
    <n v="12240"/>
    <n v="11344.7"/>
    <n v="895.29999999999927"/>
    <s v="NO"/>
    <x v="1"/>
    <x v="1"/>
  </r>
  <r>
    <s v="ORD00303"/>
    <x v="143"/>
    <x v="2"/>
    <x v="1"/>
    <x v="11"/>
    <x v="0"/>
    <x v="10"/>
    <n v="60000"/>
    <n v="2"/>
    <n v="10"/>
    <n v="15"/>
    <n v="108000"/>
    <n v="107495.55"/>
    <n v="504.44999999999709"/>
    <s v="YES"/>
    <x v="1"/>
    <x v="2"/>
  </r>
  <r>
    <s v="ORD00304"/>
    <x v="17"/>
    <x v="2"/>
    <x v="5"/>
    <x v="11"/>
    <x v="0"/>
    <x v="10"/>
    <n v="60000"/>
    <n v="6"/>
    <n v="10"/>
    <n v="0"/>
    <n v="324000"/>
    <n v="282192.17"/>
    <n v="41807.830000000016"/>
    <s v="NO"/>
    <x v="1"/>
    <x v="1"/>
  </r>
  <r>
    <s v="ORD00305"/>
    <x v="99"/>
    <x v="0"/>
    <x v="0"/>
    <x v="22"/>
    <x v="0"/>
    <x v="10"/>
    <n v="35000"/>
    <n v="7"/>
    <n v="15"/>
    <n v="25"/>
    <n v="208250"/>
    <n v="187087.62"/>
    <n v="21162.380000000005"/>
    <s v="YES"/>
    <x v="1"/>
    <x v="2"/>
  </r>
  <r>
    <s v="ORD00306"/>
    <x v="103"/>
    <x v="1"/>
    <x v="4"/>
    <x v="2"/>
    <x v="1"/>
    <x v="2"/>
    <n v="1200"/>
    <n v="11"/>
    <n v="5"/>
    <n v="25"/>
    <n v="12540"/>
    <n v="12418.19"/>
    <n v="121.80999999999949"/>
    <s v="YES"/>
    <x v="1"/>
    <x v="2"/>
  </r>
  <r>
    <s v="ORD00307"/>
    <x v="25"/>
    <x v="3"/>
    <x v="4"/>
    <x v="5"/>
    <x v="0"/>
    <x v="5"/>
    <n v="4500"/>
    <n v="2"/>
    <n v="15"/>
    <n v="10"/>
    <n v="7650"/>
    <n v="6910.09"/>
    <n v="739.90999999999985"/>
    <s v="NO"/>
    <x v="1"/>
    <x v="1"/>
  </r>
  <r>
    <s v="ORD00308"/>
    <x v="131"/>
    <x v="2"/>
    <x v="3"/>
    <x v="17"/>
    <x v="1"/>
    <x v="1"/>
    <n v="1200"/>
    <n v="4"/>
    <n v="15"/>
    <n v="25"/>
    <n v="4080"/>
    <n v="3884.85"/>
    <n v="195.15000000000009"/>
    <s v="YES"/>
    <x v="1"/>
    <x v="2"/>
  </r>
  <r>
    <s v="ORD00309"/>
    <x v="88"/>
    <x v="1"/>
    <x v="5"/>
    <x v="6"/>
    <x v="2"/>
    <x v="6"/>
    <n v="4500"/>
    <n v="8"/>
    <n v="5"/>
    <n v="10"/>
    <n v="34200"/>
    <n v="31794.25"/>
    <n v="2405.75"/>
    <s v="YES"/>
    <x v="1"/>
    <x v="2"/>
  </r>
  <r>
    <s v="ORD00310"/>
    <x v="120"/>
    <x v="1"/>
    <x v="1"/>
    <x v="18"/>
    <x v="5"/>
    <x v="13"/>
    <n v="18000"/>
    <n v="4"/>
    <n v="5"/>
    <n v="5"/>
    <n v="68400"/>
    <n v="69702.81"/>
    <n v="-1302.8099999999977"/>
    <s v="NO"/>
    <x v="0"/>
    <x v="0"/>
  </r>
  <r>
    <s v="ORD00311"/>
    <x v="144"/>
    <x v="2"/>
    <x v="1"/>
    <x v="0"/>
    <x v="0"/>
    <x v="0"/>
    <n v="6000"/>
    <n v="8"/>
    <n v="5"/>
    <n v="0"/>
    <n v="45600"/>
    <n v="44351.25"/>
    <n v="1248.75"/>
    <s v="NO"/>
    <x v="1"/>
    <x v="1"/>
  </r>
  <r>
    <s v="ORD00312"/>
    <x v="145"/>
    <x v="2"/>
    <x v="0"/>
    <x v="8"/>
    <x v="1"/>
    <x v="3"/>
    <n v="2800"/>
    <n v="5"/>
    <n v="10"/>
    <n v="15"/>
    <n v="12600"/>
    <n v="11491.95"/>
    <n v="1108.0499999999993"/>
    <s v="YES"/>
    <x v="1"/>
    <x v="2"/>
  </r>
  <r>
    <s v="ORD00313"/>
    <x v="20"/>
    <x v="3"/>
    <x v="5"/>
    <x v="11"/>
    <x v="0"/>
    <x v="10"/>
    <n v="60000"/>
    <n v="4"/>
    <n v="5"/>
    <n v="15"/>
    <n v="228000"/>
    <n v="233458.01"/>
    <n v="-5458.0100000000093"/>
    <s v="YES"/>
    <x v="0"/>
    <x v="2"/>
  </r>
  <r>
    <s v="ORD00314"/>
    <x v="9"/>
    <x v="1"/>
    <x v="3"/>
    <x v="4"/>
    <x v="2"/>
    <x v="4"/>
    <n v="15000"/>
    <n v="5"/>
    <n v="15"/>
    <n v="25"/>
    <n v="63750"/>
    <n v="66347.63"/>
    <n v="-2597.6300000000047"/>
    <s v="YES"/>
    <x v="0"/>
    <x v="2"/>
  </r>
  <r>
    <s v="ORD00315"/>
    <x v="53"/>
    <x v="3"/>
    <x v="1"/>
    <x v="11"/>
    <x v="0"/>
    <x v="10"/>
    <n v="60000"/>
    <n v="13"/>
    <n v="15"/>
    <n v="20"/>
    <n v="663000"/>
    <n v="692496.92"/>
    <n v="-29496.920000000042"/>
    <s v="YES"/>
    <x v="0"/>
    <x v="2"/>
  </r>
  <r>
    <s v="ORD00316"/>
    <x v="20"/>
    <x v="2"/>
    <x v="0"/>
    <x v="17"/>
    <x v="1"/>
    <x v="1"/>
    <n v="1200"/>
    <n v="7"/>
    <n v="15"/>
    <n v="5"/>
    <n v="7140"/>
    <n v="6613.6"/>
    <n v="526.39999999999964"/>
    <s v="NO"/>
    <x v="1"/>
    <x v="1"/>
  </r>
  <r>
    <s v="ORD00317"/>
    <x v="146"/>
    <x v="0"/>
    <x v="5"/>
    <x v="8"/>
    <x v="1"/>
    <x v="3"/>
    <n v="2800"/>
    <n v="3"/>
    <n v="10"/>
    <n v="25"/>
    <n v="7560"/>
    <n v="7937.81"/>
    <n v="-377.8100000000004"/>
    <s v="YES"/>
    <x v="0"/>
    <x v="2"/>
  </r>
  <r>
    <s v="ORD00318"/>
    <x v="136"/>
    <x v="0"/>
    <x v="4"/>
    <x v="1"/>
    <x v="1"/>
    <x v="1"/>
    <n v="1800"/>
    <n v="12"/>
    <n v="5"/>
    <n v="10"/>
    <n v="20520"/>
    <n v="19707.439999999999"/>
    <n v="812.56000000000131"/>
    <s v="YES"/>
    <x v="1"/>
    <x v="2"/>
  </r>
  <r>
    <s v="ORD00319"/>
    <x v="16"/>
    <x v="2"/>
    <x v="4"/>
    <x v="15"/>
    <x v="2"/>
    <x v="6"/>
    <n v="2500"/>
    <n v="11"/>
    <n v="10"/>
    <n v="20"/>
    <n v="24750"/>
    <n v="24197.69"/>
    <n v="552.31000000000131"/>
    <s v="YES"/>
    <x v="1"/>
    <x v="2"/>
  </r>
  <r>
    <s v="ORD00320"/>
    <x v="39"/>
    <x v="2"/>
    <x v="2"/>
    <x v="7"/>
    <x v="2"/>
    <x v="7"/>
    <n v="18000"/>
    <n v="11"/>
    <n v="5"/>
    <n v="10"/>
    <n v="188100"/>
    <n v="162310.32999999999"/>
    <n v="25789.670000000013"/>
    <s v="YES"/>
    <x v="1"/>
    <x v="2"/>
  </r>
  <r>
    <s v="ORD00321"/>
    <x v="108"/>
    <x v="0"/>
    <x v="3"/>
    <x v="13"/>
    <x v="0"/>
    <x v="12"/>
    <n v="8000"/>
    <n v="9"/>
    <n v="5"/>
    <n v="15"/>
    <n v="68400"/>
    <n v="65477.45"/>
    <n v="2922.5500000000029"/>
    <s v="YES"/>
    <x v="1"/>
    <x v="2"/>
  </r>
  <r>
    <s v="ORD00322"/>
    <x v="50"/>
    <x v="1"/>
    <x v="4"/>
    <x v="18"/>
    <x v="5"/>
    <x v="13"/>
    <n v="18000"/>
    <n v="5"/>
    <n v="15"/>
    <n v="0"/>
    <n v="76500"/>
    <n v="76365.22"/>
    <n v="134.77999999999884"/>
    <s v="NO"/>
    <x v="1"/>
    <x v="1"/>
  </r>
  <r>
    <s v="ORD00323"/>
    <x v="24"/>
    <x v="3"/>
    <x v="5"/>
    <x v="2"/>
    <x v="1"/>
    <x v="2"/>
    <n v="1200"/>
    <n v="15"/>
    <n v="10"/>
    <n v="20"/>
    <n v="16200"/>
    <n v="14343.82"/>
    <n v="1856.1800000000003"/>
    <s v="YES"/>
    <x v="1"/>
    <x v="2"/>
  </r>
  <r>
    <s v="ORD00324"/>
    <x v="61"/>
    <x v="0"/>
    <x v="4"/>
    <x v="13"/>
    <x v="0"/>
    <x v="12"/>
    <n v="8000"/>
    <n v="11"/>
    <n v="10"/>
    <n v="10"/>
    <n v="79200"/>
    <n v="75841.53"/>
    <n v="3358.4700000000012"/>
    <s v="NO"/>
    <x v="1"/>
    <x v="1"/>
  </r>
  <r>
    <s v="ORD00325"/>
    <x v="147"/>
    <x v="2"/>
    <x v="2"/>
    <x v="15"/>
    <x v="2"/>
    <x v="6"/>
    <n v="2500"/>
    <n v="2"/>
    <n v="5"/>
    <n v="5"/>
    <n v="4750"/>
    <n v="4406.5"/>
    <n v="343.5"/>
    <s v="NO"/>
    <x v="1"/>
    <x v="1"/>
  </r>
  <r>
    <s v="ORD00326"/>
    <x v="90"/>
    <x v="0"/>
    <x v="4"/>
    <x v="10"/>
    <x v="1"/>
    <x v="9"/>
    <n v="1200"/>
    <n v="13"/>
    <n v="10"/>
    <n v="15"/>
    <n v="14040"/>
    <n v="12695.21"/>
    <n v="1344.7900000000009"/>
    <s v="YES"/>
    <x v="1"/>
    <x v="2"/>
  </r>
  <r>
    <s v="ORD00327"/>
    <x v="90"/>
    <x v="3"/>
    <x v="2"/>
    <x v="2"/>
    <x v="1"/>
    <x v="2"/>
    <n v="1200"/>
    <n v="10"/>
    <n v="10"/>
    <n v="25"/>
    <n v="10800"/>
    <n v="9596.33"/>
    <n v="1203.67"/>
    <s v="YES"/>
    <x v="1"/>
    <x v="2"/>
  </r>
  <r>
    <s v="ORD00328"/>
    <x v="145"/>
    <x v="1"/>
    <x v="1"/>
    <x v="12"/>
    <x v="4"/>
    <x v="11"/>
    <n v="8000"/>
    <n v="13"/>
    <n v="5"/>
    <n v="10"/>
    <n v="98800"/>
    <n v="103078.86"/>
    <n v="-4278.8600000000006"/>
    <s v="YES"/>
    <x v="0"/>
    <x v="2"/>
  </r>
  <r>
    <s v="ORD00329"/>
    <x v="101"/>
    <x v="3"/>
    <x v="3"/>
    <x v="18"/>
    <x v="5"/>
    <x v="13"/>
    <n v="18000"/>
    <n v="6"/>
    <n v="15"/>
    <n v="15"/>
    <n v="91800"/>
    <n v="95534.26"/>
    <n v="-3734.2599999999948"/>
    <s v="NO"/>
    <x v="0"/>
    <x v="0"/>
  </r>
  <r>
    <s v="ORD00330"/>
    <x v="94"/>
    <x v="3"/>
    <x v="1"/>
    <x v="8"/>
    <x v="1"/>
    <x v="3"/>
    <n v="2800"/>
    <n v="10"/>
    <n v="15"/>
    <n v="0"/>
    <n v="23800"/>
    <n v="21233.03"/>
    <n v="2566.9700000000012"/>
    <s v="NO"/>
    <x v="1"/>
    <x v="1"/>
  </r>
  <r>
    <s v="ORD00331"/>
    <x v="29"/>
    <x v="3"/>
    <x v="4"/>
    <x v="3"/>
    <x v="1"/>
    <x v="3"/>
    <n v="500"/>
    <n v="13"/>
    <n v="5"/>
    <n v="0"/>
    <n v="6175"/>
    <n v="5967.34"/>
    <n v="207.65999999999985"/>
    <s v="NO"/>
    <x v="1"/>
    <x v="1"/>
  </r>
  <r>
    <s v="ORD00332"/>
    <x v="8"/>
    <x v="1"/>
    <x v="3"/>
    <x v="19"/>
    <x v="0"/>
    <x v="12"/>
    <n v="3500"/>
    <n v="3"/>
    <n v="10"/>
    <n v="20"/>
    <n v="9450"/>
    <n v="9091.5"/>
    <n v="358.5"/>
    <s v="YES"/>
    <x v="1"/>
    <x v="2"/>
  </r>
  <r>
    <s v="ORD00333"/>
    <x v="102"/>
    <x v="1"/>
    <x v="1"/>
    <x v="17"/>
    <x v="1"/>
    <x v="1"/>
    <n v="1200"/>
    <n v="1"/>
    <n v="15"/>
    <n v="5"/>
    <n v="1020"/>
    <n v="908.05"/>
    <n v="111.95000000000005"/>
    <s v="NO"/>
    <x v="1"/>
    <x v="1"/>
  </r>
  <r>
    <s v="ORD00334"/>
    <x v="32"/>
    <x v="1"/>
    <x v="5"/>
    <x v="3"/>
    <x v="1"/>
    <x v="3"/>
    <n v="500"/>
    <n v="11"/>
    <n v="5"/>
    <n v="10"/>
    <n v="5225"/>
    <n v="5346.32"/>
    <n v="-121.31999999999971"/>
    <s v="YES"/>
    <x v="0"/>
    <x v="2"/>
  </r>
  <r>
    <s v="ORD00335"/>
    <x v="27"/>
    <x v="3"/>
    <x v="5"/>
    <x v="9"/>
    <x v="3"/>
    <x v="8"/>
    <n v="4000"/>
    <n v="12"/>
    <n v="10"/>
    <n v="20"/>
    <n v="43200"/>
    <n v="40670.199999999997"/>
    <n v="2529.8000000000029"/>
    <s v="YES"/>
    <x v="1"/>
    <x v="2"/>
  </r>
  <r>
    <s v="ORD00336"/>
    <x v="148"/>
    <x v="0"/>
    <x v="5"/>
    <x v="0"/>
    <x v="0"/>
    <x v="0"/>
    <n v="6000"/>
    <n v="6"/>
    <n v="10"/>
    <n v="0"/>
    <n v="32400"/>
    <n v="33430.68"/>
    <n v="-1030.6800000000003"/>
    <s v="NO"/>
    <x v="0"/>
    <x v="0"/>
  </r>
  <r>
    <s v="ORD00337"/>
    <x v="83"/>
    <x v="2"/>
    <x v="0"/>
    <x v="16"/>
    <x v="1"/>
    <x v="3"/>
    <n v="1500"/>
    <n v="3"/>
    <n v="15"/>
    <n v="5"/>
    <n v="3825"/>
    <n v="3449.52"/>
    <n v="375.48"/>
    <s v="NO"/>
    <x v="1"/>
    <x v="1"/>
  </r>
  <r>
    <s v="ORD00338"/>
    <x v="67"/>
    <x v="2"/>
    <x v="3"/>
    <x v="14"/>
    <x v="1"/>
    <x v="2"/>
    <n v="6500"/>
    <n v="4"/>
    <n v="5"/>
    <n v="25"/>
    <n v="24700"/>
    <n v="23575.200000000001"/>
    <n v="1124.7999999999993"/>
    <s v="YES"/>
    <x v="1"/>
    <x v="2"/>
  </r>
  <r>
    <s v="ORD00339"/>
    <x v="125"/>
    <x v="2"/>
    <x v="0"/>
    <x v="4"/>
    <x v="2"/>
    <x v="4"/>
    <n v="15000"/>
    <n v="1"/>
    <n v="15"/>
    <n v="5"/>
    <n v="12750"/>
    <n v="12420.86"/>
    <n v="329.13999999999942"/>
    <s v="NO"/>
    <x v="1"/>
    <x v="1"/>
  </r>
  <r>
    <s v="ORD00340"/>
    <x v="95"/>
    <x v="2"/>
    <x v="4"/>
    <x v="9"/>
    <x v="3"/>
    <x v="8"/>
    <n v="4000"/>
    <n v="9"/>
    <n v="15"/>
    <n v="20"/>
    <n v="30600"/>
    <n v="30203.91"/>
    <n v="396.09000000000015"/>
    <s v="YES"/>
    <x v="1"/>
    <x v="2"/>
  </r>
  <r>
    <s v="ORD00341"/>
    <x v="28"/>
    <x v="1"/>
    <x v="3"/>
    <x v="13"/>
    <x v="0"/>
    <x v="12"/>
    <n v="8000"/>
    <n v="15"/>
    <n v="15"/>
    <n v="15"/>
    <n v="102000"/>
    <n v="94999.28"/>
    <n v="7000.7200000000012"/>
    <s v="NO"/>
    <x v="1"/>
    <x v="1"/>
  </r>
  <r>
    <s v="ORD00342"/>
    <x v="129"/>
    <x v="2"/>
    <x v="4"/>
    <x v="20"/>
    <x v="6"/>
    <x v="14"/>
    <n v="12000"/>
    <n v="13"/>
    <n v="15"/>
    <n v="10"/>
    <n v="132600"/>
    <n v="113293.27"/>
    <n v="19306.729999999996"/>
    <s v="NO"/>
    <x v="1"/>
    <x v="1"/>
  </r>
  <r>
    <s v="ORD00343"/>
    <x v="100"/>
    <x v="0"/>
    <x v="5"/>
    <x v="9"/>
    <x v="3"/>
    <x v="8"/>
    <n v="4000"/>
    <n v="12"/>
    <n v="5"/>
    <n v="25"/>
    <n v="45600"/>
    <n v="43740.480000000003"/>
    <n v="1859.5199999999968"/>
    <s v="YES"/>
    <x v="1"/>
    <x v="2"/>
  </r>
  <r>
    <s v="ORD00344"/>
    <x v="68"/>
    <x v="2"/>
    <x v="3"/>
    <x v="23"/>
    <x v="0"/>
    <x v="12"/>
    <n v="7000"/>
    <n v="4"/>
    <n v="10"/>
    <n v="20"/>
    <n v="25200"/>
    <n v="24777.45"/>
    <n v="422.54999999999927"/>
    <s v="YES"/>
    <x v="1"/>
    <x v="2"/>
  </r>
  <r>
    <s v="ORD00345"/>
    <x v="149"/>
    <x v="1"/>
    <x v="4"/>
    <x v="14"/>
    <x v="1"/>
    <x v="2"/>
    <n v="6500"/>
    <n v="12"/>
    <n v="10"/>
    <n v="0"/>
    <n v="70200"/>
    <n v="61810.95"/>
    <n v="8389.0500000000029"/>
    <s v="NO"/>
    <x v="1"/>
    <x v="1"/>
  </r>
  <r>
    <s v="ORD00346"/>
    <x v="0"/>
    <x v="3"/>
    <x v="3"/>
    <x v="18"/>
    <x v="5"/>
    <x v="13"/>
    <n v="18000"/>
    <n v="3"/>
    <n v="10"/>
    <n v="10"/>
    <n v="48600"/>
    <n v="42141.81"/>
    <n v="6458.1900000000023"/>
    <s v="NO"/>
    <x v="1"/>
    <x v="1"/>
  </r>
  <r>
    <s v="ORD00347"/>
    <x v="150"/>
    <x v="2"/>
    <x v="3"/>
    <x v="12"/>
    <x v="4"/>
    <x v="11"/>
    <n v="8000"/>
    <n v="5"/>
    <n v="5"/>
    <n v="25"/>
    <n v="38000"/>
    <n v="34908.910000000003"/>
    <n v="3091.0899999999965"/>
    <s v="YES"/>
    <x v="1"/>
    <x v="2"/>
  </r>
  <r>
    <s v="ORD00348"/>
    <x v="76"/>
    <x v="0"/>
    <x v="1"/>
    <x v="9"/>
    <x v="3"/>
    <x v="8"/>
    <n v="4000"/>
    <n v="13"/>
    <n v="15"/>
    <n v="5"/>
    <n v="44200"/>
    <n v="45613.04"/>
    <n v="-1413.0400000000009"/>
    <s v="NO"/>
    <x v="0"/>
    <x v="0"/>
  </r>
  <r>
    <s v="ORD00349"/>
    <x v="151"/>
    <x v="2"/>
    <x v="2"/>
    <x v="21"/>
    <x v="6"/>
    <x v="14"/>
    <n v="3500"/>
    <n v="8"/>
    <n v="15"/>
    <n v="0"/>
    <n v="23800"/>
    <n v="22896.2"/>
    <n v="903.79999999999927"/>
    <s v="NO"/>
    <x v="1"/>
    <x v="1"/>
  </r>
  <r>
    <s v="ORD00350"/>
    <x v="150"/>
    <x v="3"/>
    <x v="2"/>
    <x v="23"/>
    <x v="0"/>
    <x v="12"/>
    <n v="7000"/>
    <n v="9"/>
    <n v="15"/>
    <n v="15"/>
    <n v="53550"/>
    <n v="49859.61"/>
    <n v="3690.3899999999994"/>
    <s v="NO"/>
    <x v="1"/>
    <x v="1"/>
  </r>
  <r>
    <s v="ORD00351"/>
    <x v="60"/>
    <x v="0"/>
    <x v="1"/>
    <x v="21"/>
    <x v="6"/>
    <x v="14"/>
    <n v="3500"/>
    <n v="1"/>
    <n v="10"/>
    <n v="20"/>
    <n v="3150"/>
    <n v="2991.37"/>
    <n v="158.63000000000011"/>
    <s v="YES"/>
    <x v="1"/>
    <x v="2"/>
  </r>
  <r>
    <s v="ORD00352"/>
    <x v="43"/>
    <x v="3"/>
    <x v="3"/>
    <x v="18"/>
    <x v="5"/>
    <x v="13"/>
    <n v="18000"/>
    <n v="3"/>
    <n v="10"/>
    <n v="15"/>
    <n v="48600"/>
    <n v="46436.42"/>
    <n v="2163.5800000000017"/>
    <s v="YES"/>
    <x v="1"/>
    <x v="2"/>
  </r>
  <r>
    <s v="ORD00353"/>
    <x v="152"/>
    <x v="2"/>
    <x v="5"/>
    <x v="7"/>
    <x v="2"/>
    <x v="7"/>
    <n v="18000"/>
    <n v="8"/>
    <n v="10"/>
    <n v="20"/>
    <n v="129600"/>
    <n v="120810.21"/>
    <n v="8789.7899999999936"/>
    <s v="YES"/>
    <x v="1"/>
    <x v="2"/>
  </r>
  <r>
    <s v="ORD00354"/>
    <x v="113"/>
    <x v="2"/>
    <x v="3"/>
    <x v="18"/>
    <x v="5"/>
    <x v="13"/>
    <n v="18000"/>
    <n v="6"/>
    <n v="15"/>
    <n v="25"/>
    <n v="91800"/>
    <n v="80307.899999999994"/>
    <n v="11492.100000000006"/>
    <s v="YES"/>
    <x v="1"/>
    <x v="2"/>
  </r>
  <r>
    <s v="ORD00355"/>
    <x v="153"/>
    <x v="3"/>
    <x v="5"/>
    <x v="17"/>
    <x v="1"/>
    <x v="1"/>
    <n v="1200"/>
    <n v="11"/>
    <n v="5"/>
    <n v="15"/>
    <n v="12540"/>
    <n v="10693.74"/>
    <n v="1846.2600000000002"/>
    <s v="YES"/>
    <x v="1"/>
    <x v="2"/>
  </r>
  <r>
    <s v="ORD00356"/>
    <x v="92"/>
    <x v="1"/>
    <x v="0"/>
    <x v="15"/>
    <x v="2"/>
    <x v="6"/>
    <n v="2500"/>
    <n v="9"/>
    <n v="5"/>
    <n v="15"/>
    <n v="21375"/>
    <n v="22276.1"/>
    <n v="-901.09999999999854"/>
    <s v="YES"/>
    <x v="0"/>
    <x v="2"/>
  </r>
  <r>
    <s v="ORD00357"/>
    <x v="120"/>
    <x v="0"/>
    <x v="3"/>
    <x v="19"/>
    <x v="0"/>
    <x v="12"/>
    <n v="3500"/>
    <n v="1"/>
    <n v="10"/>
    <n v="5"/>
    <n v="3150"/>
    <n v="3129.6"/>
    <n v="20.400000000000091"/>
    <s v="NO"/>
    <x v="1"/>
    <x v="1"/>
  </r>
  <r>
    <s v="ORD00358"/>
    <x v="117"/>
    <x v="0"/>
    <x v="1"/>
    <x v="9"/>
    <x v="3"/>
    <x v="8"/>
    <n v="4000"/>
    <n v="15"/>
    <n v="15"/>
    <n v="20"/>
    <n v="51000"/>
    <n v="51237.89"/>
    <n v="-237.88999999999942"/>
    <s v="YES"/>
    <x v="0"/>
    <x v="2"/>
  </r>
  <r>
    <s v="ORD00359"/>
    <x v="154"/>
    <x v="1"/>
    <x v="3"/>
    <x v="21"/>
    <x v="6"/>
    <x v="14"/>
    <n v="3500"/>
    <n v="8"/>
    <n v="5"/>
    <n v="0"/>
    <n v="26600"/>
    <n v="25894.799999999999"/>
    <n v="705.20000000000073"/>
    <s v="NO"/>
    <x v="1"/>
    <x v="1"/>
  </r>
  <r>
    <s v="ORD00360"/>
    <x v="153"/>
    <x v="3"/>
    <x v="4"/>
    <x v="21"/>
    <x v="6"/>
    <x v="14"/>
    <n v="3500"/>
    <n v="9"/>
    <n v="5"/>
    <n v="5"/>
    <n v="29925"/>
    <n v="29387.32"/>
    <n v="537.68000000000029"/>
    <s v="NO"/>
    <x v="1"/>
    <x v="1"/>
  </r>
  <r>
    <s v="ORD00361"/>
    <x v="151"/>
    <x v="1"/>
    <x v="1"/>
    <x v="3"/>
    <x v="1"/>
    <x v="3"/>
    <n v="500"/>
    <n v="3"/>
    <n v="10"/>
    <n v="0"/>
    <n v="1350"/>
    <n v="1331.37"/>
    <n v="18.630000000000109"/>
    <s v="NO"/>
    <x v="1"/>
    <x v="1"/>
  </r>
  <r>
    <s v="ORD00362"/>
    <x v="113"/>
    <x v="2"/>
    <x v="2"/>
    <x v="5"/>
    <x v="0"/>
    <x v="5"/>
    <n v="4500"/>
    <n v="13"/>
    <n v="15"/>
    <n v="5"/>
    <n v="49725"/>
    <n v="51264.33"/>
    <n v="-1539.3300000000017"/>
    <s v="NO"/>
    <x v="0"/>
    <x v="0"/>
  </r>
  <r>
    <s v="ORD00363"/>
    <x v="68"/>
    <x v="1"/>
    <x v="4"/>
    <x v="17"/>
    <x v="1"/>
    <x v="1"/>
    <n v="1200"/>
    <n v="3"/>
    <n v="10"/>
    <n v="10"/>
    <n v="3240"/>
    <n v="2757.3"/>
    <n v="482.69999999999982"/>
    <s v="NO"/>
    <x v="1"/>
    <x v="1"/>
  </r>
  <r>
    <s v="ORD00364"/>
    <x v="20"/>
    <x v="3"/>
    <x v="0"/>
    <x v="7"/>
    <x v="2"/>
    <x v="7"/>
    <n v="18000"/>
    <n v="4"/>
    <n v="10"/>
    <n v="25"/>
    <n v="64800"/>
    <n v="55842.69"/>
    <n v="8957.3099999999977"/>
    <s v="YES"/>
    <x v="1"/>
    <x v="2"/>
  </r>
  <r>
    <s v="ORD00365"/>
    <x v="140"/>
    <x v="2"/>
    <x v="0"/>
    <x v="7"/>
    <x v="2"/>
    <x v="7"/>
    <n v="18000"/>
    <n v="8"/>
    <n v="5"/>
    <n v="20"/>
    <n v="136800"/>
    <n v="119482.47"/>
    <n v="17317.53"/>
    <s v="YES"/>
    <x v="1"/>
    <x v="2"/>
  </r>
  <r>
    <s v="ORD00366"/>
    <x v="155"/>
    <x v="2"/>
    <x v="1"/>
    <x v="17"/>
    <x v="1"/>
    <x v="1"/>
    <n v="1200"/>
    <n v="7"/>
    <n v="10"/>
    <n v="5"/>
    <n v="7560"/>
    <n v="6547.81"/>
    <n v="1012.1899999999996"/>
    <s v="NO"/>
    <x v="1"/>
    <x v="1"/>
  </r>
  <r>
    <s v="ORD00367"/>
    <x v="28"/>
    <x v="0"/>
    <x v="4"/>
    <x v="8"/>
    <x v="1"/>
    <x v="3"/>
    <n v="2800"/>
    <n v="4"/>
    <n v="10"/>
    <n v="20"/>
    <n v="10080"/>
    <n v="9007.7900000000009"/>
    <n v="1072.2099999999991"/>
    <s v="YES"/>
    <x v="1"/>
    <x v="2"/>
  </r>
  <r>
    <s v="ORD00368"/>
    <x v="42"/>
    <x v="1"/>
    <x v="2"/>
    <x v="23"/>
    <x v="0"/>
    <x v="12"/>
    <n v="7000"/>
    <n v="4"/>
    <n v="5"/>
    <n v="5"/>
    <n v="26600"/>
    <n v="25563.14"/>
    <n v="1036.8600000000006"/>
    <s v="NO"/>
    <x v="1"/>
    <x v="1"/>
  </r>
  <r>
    <s v="ORD00369"/>
    <x v="116"/>
    <x v="1"/>
    <x v="5"/>
    <x v="0"/>
    <x v="0"/>
    <x v="0"/>
    <n v="6000"/>
    <n v="12"/>
    <n v="15"/>
    <n v="15"/>
    <n v="61200"/>
    <n v="61884.1"/>
    <n v="-684.09999999999854"/>
    <s v="NO"/>
    <x v="0"/>
    <x v="0"/>
  </r>
  <r>
    <s v="ORD00370"/>
    <x v="116"/>
    <x v="1"/>
    <x v="2"/>
    <x v="10"/>
    <x v="1"/>
    <x v="9"/>
    <n v="1200"/>
    <n v="11"/>
    <n v="15"/>
    <n v="25"/>
    <n v="11220"/>
    <n v="9728.11"/>
    <n v="1491.8899999999994"/>
    <s v="YES"/>
    <x v="1"/>
    <x v="2"/>
  </r>
  <r>
    <s v="ORD00371"/>
    <x v="71"/>
    <x v="3"/>
    <x v="4"/>
    <x v="14"/>
    <x v="1"/>
    <x v="2"/>
    <n v="6500"/>
    <n v="10"/>
    <n v="5"/>
    <n v="20"/>
    <n v="61750"/>
    <n v="62463"/>
    <n v="-713"/>
    <s v="YES"/>
    <x v="0"/>
    <x v="2"/>
  </r>
  <r>
    <s v="ORD00372"/>
    <x v="66"/>
    <x v="2"/>
    <x v="3"/>
    <x v="8"/>
    <x v="1"/>
    <x v="3"/>
    <n v="2800"/>
    <n v="3"/>
    <n v="10"/>
    <n v="25"/>
    <n v="7560"/>
    <n v="7681.96"/>
    <n v="-121.96000000000004"/>
    <s v="YES"/>
    <x v="0"/>
    <x v="2"/>
  </r>
  <r>
    <s v="ORD00373"/>
    <x v="6"/>
    <x v="0"/>
    <x v="5"/>
    <x v="7"/>
    <x v="2"/>
    <x v="7"/>
    <n v="18000"/>
    <n v="10"/>
    <n v="5"/>
    <n v="5"/>
    <n v="171000"/>
    <n v="156622.57999999999"/>
    <n v="14377.420000000013"/>
    <s v="NO"/>
    <x v="1"/>
    <x v="1"/>
  </r>
  <r>
    <s v="ORD00374"/>
    <x v="103"/>
    <x v="0"/>
    <x v="4"/>
    <x v="21"/>
    <x v="6"/>
    <x v="14"/>
    <n v="3500"/>
    <n v="8"/>
    <n v="5"/>
    <n v="5"/>
    <n v="26600"/>
    <n v="27353.18"/>
    <n v="-753.18000000000029"/>
    <s v="NO"/>
    <x v="0"/>
    <x v="0"/>
  </r>
  <r>
    <s v="ORD00375"/>
    <x v="67"/>
    <x v="0"/>
    <x v="1"/>
    <x v="11"/>
    <x v="0"/>
    <x v="10"/>
    <n v="60000"/>
    <n v="4"/>
    <n v="5"/>
    <n v="15"/>
    <n v="228000"/>
    <n v="203385.76"/>
    <n v="24614.239999999991"/>
    <s v="YES"/>
    <x v="1"/>
    <x v="2"/>
  </r>
  <r>
    <s v="ORD00376"/>
    <x v="138"/>
    <x v="2"/>
    <x v="4"/>
    <x v="20"/>
    <x v="6"/>
    <x v="14"/>
    <n v="12000"/>
    <n v="13"/>
    <n v="15"/>
    <n v="0"/>
    <n v="132600"/>
    <n v="118964.43"/>
    <n v="13635.570000000007"/>
    <s v="NO"/>
    <x v="1"/>
    <x v="1"/>
  </r>
  <r>
    <s v="ORD00377"/>
    <x v="39"/>
    <x v="1"/>
    <x v="1"/>
    <x v="2"/>
    <x v="1"/>
    <x v="2"/>
    <n v="1200"/>
    <n v="1"/>
    <n v="10"/>
    <n v="0"/>
    <n v="1080"/>
    <n v="970.19"/>
    <n v="109.80999999999995"/>
    <s v="NO"/>
    <x v="1"/>
    <x v="1"/>
  </r>
  <r>
    <s v="ORD00378"/>
    <x v="50"/>
    <x v="3"/>
    <x v="1"/>
    <x v="2"/>
    <x v="1"/>
    <x v="2"/>
    <n v="1200"/>
    <n v="6"/>
    <n v="15"/>
    <n v="15"/>
    <n v="6120"/>
    <n v="5806.57"/>
    <n v="313.43000000000029"/>
    <s v="NO"/>
    <x v="1"/>
    <x v="1"/>
  </r>
  <r>
    <s v="ORD00379"/>
    <x v="156"/>
    <x v="3"/>
    <x v="0"/>
    <x v="16"/>
    <x v="1"/>
    <x v="3"/>
    <n v="1500"/>
    <n v="15"/>
    <n v="5"/>
    <n v="5"/>
    <n v="21375"/>
    <n v="18778.87"/>
    <n v="2596.130000000001"/>
    <s v="NO"/>
    <x v="1"/>
    <x v="1"/>
  </r>
  <r>
    <s v="ORD00380"/>
    <x v="157"/>
    <x v="3"/>
    <x v="3"/>
    <x v="8"/>
    <x v="1"/>
    <x v="3"/>
    <n v="2800"/>
    <n v="7"/>
    <n v="15"/>
    <n v="25"/>
    <n v="16660"/>
    <n v="16829.650000000001"/>
    <n v="-169.65000000000146"/>
    <s v="YES"/>
    <x v="0"/>
    <x v="2"/>
  </r>
  <r>
    <s v="ORD00381"/>
    <x v="12"/>
    <x v="2"/>
    <x v="1"/>
    <x v="4"/>
    <x v="2"/>
    <x v="4"/>
    <n v="15000"/>
    <n v="11"/>
    <n v="15"/>
    <n v="25"/>
    <n v="140250"/>
    <n v="145519.57"/>
    <n v="-5269.570000000007"/>
    <s v="YES"/>
    <x v="0"/>
    <x v="2"/>
  </r>
  <r>
    <s v="ORD00382"/>
    <x v="58"/>
    <x v="0"/>
    <x v="4"/>
    <x v="8"/>
    <x v="1"/>
    <x v="3"/>
    <n v="2800"/>
    <n v="1"/>
    <n v="5"/>
    <n v="15"/>
    <n v="2660"/>
    <n v="2466.71"/>
    <n v="193.28999999999996"/>
    <s v="YES"/>
    <x v="1"/>
    <x v="2"/>
  </r>
  <r>
    <s v="ORD00383"/>
    <x v="74"/>
    <x v="1"/>
    <x v="4"/>
    <x v="9"/>
    <x v="3"/>
    <x v="8"/>
    <n v="4000"/>
    <n v="4"/>
    <n v="15"/>
    <n v="15"/>
    <n v="13600"/>
    <n v="12564.92"/>
    <n v="1035.08"/>
    <s v="NO"/>
    <x v="1"/>
    <x v="1"/>
  </r>
  <r>
    <s v="ORD00384"/>
    <x v="137"/>
    <x v="3"/>
    <x v="0"/>
    <x v="7"/>
    <x v="2"/>
    <x v="7"/>
    <n v="18000"/>
    <n v="9"/>
    <n v="5"/>
    <n v="25"/>
    <n v="153900"/>
    <n v="159223.60999999999"/>
    <n v="-5323.609999999986"/>
    <s v="YES"/>
    <x v="0"/>
    <x v="2"/>
  </r>
  <r>
    <s v="ORD00385"/>
    <x v="89"/>
    <x v="0"/>
    <x v="1"/>
    <x v="4"/>
    <x v="2"/>
    <x v="4"/>
    <n v="15000"/>
    <n v="4"/>
    <n v="5"/>
    <n v="0"/>
    <n v="57000"/>
    <n v="55088.99"/>
    <n v="1911.010000000002"/>
    <s v="NO"/>
    <x v="1"/>
    <x v="1"/>
  </r>
  <r>
    <s v="ORD00386"/>
    <x v="82"/>
    <x v="0"/>
    <x v="1"/>
    <x v="5"/>
    <x v="0"/>
    <x v="5"/>
    <n v="4500"/>
    <n v="10"/>
    <n v="5"/>
    <n v="5"/>
    <n v="42750"/>
    <n v="39740.29"/>
    <n v="3009.7099999999991"/>
    <s v="NO"/>
    <x v="1"/>
    <x v="1"/>
  </r>
  <r>
    <s v="ORD00387"/>
    <x v="104"/>
    <x v="3"/>
    <x v="2"/>
    <x v="6"/>
    <x v="2"/>
    <x v="6"/>
    <n v="4500"/>
    <n v="1"/>
    <n v="10"/>
    <n v="10"/>
    <n v="4050"/>
    <n v="3921.57"/>
    <n v="128.42999999999984"/>
    <s v="NO"/>
    <x v="1"/>
    <x v="1"/>
  </r>
  <r>
    <s v="ORD00388"/>
    <x v="95"/>
    <x v="2"/>
    <x v="0"/>
    <x v="18"/>
    <x v="5"/>
    <x v="13"/>
    <n v="18000"/>
    <n v="15"/>
    <n v="15"/>
    <n v="15"/>
    <n v="229500"/>
    <n v="217175.06"/>
    <n v="12324.940000000002"/>
    <s v="NO"/>
    <x v="1"/>
    <x v="1"/>
  </r>
  <r>
    <s v="ORD00389"/>
    <x v="99"/>
    <x v="1"/>
    <x v="1"/>
    <x v="14"/>
    <x v="1"/>
    <x v="2"/>
    <n v="6500"/>
    <n v="5"/>
    <n v="10"/>
    <n v="20"/>
    <n v="29250"/>
    <n v="30454.13"/>
    <n v="-1204.130000000001"/>
    <s v="YES"/>
    <x v="0"/>
    <x v="2"/>
  </r>
  <r>
    <s v="ORD00390"/>
    <x v="140"/>
    <x v="1"/>
    <x v="0"/>
    <x v="10"/>
    <x v="1"/>
    <x v="9"/>
    <n v="1200"/>
    <n v="4"/>
    <n v="15"/>
    <n v="15"/>
    <n v="4080"/>
    <n v="3876.13"/>
    <n v="203.86999999999989"/>
    <s v="NO"/>
    <x v="1"/>
    <x v="1"/>
  </r>
  <r>
    <s v="ORD00391"/>
    <x v="92"/>
    <x v="2"/>
    <x v="1"/>
    <x v="22"/>
    <x v="0"/>
    <x v="10"/>
    <n v="35000"/>
    <n v="12"/>
    <n v="10"/>
    <n v="15"/>
    <n v="378000"/>
    <n v="379333.82"/>
    <n v="-1333.820000000007"/>
    <s v="YES"/>
    <x v="0"/>
    <x v="2"/>
  </r>
  <r>
    <s v="ORD00392"/>
    <x v="158"/>
    <x v="1"/>
    <x v="1"/>
    <x v="6"/>
    <x v="2"/>
    <x v="6"/>
    <n v="4500"/>
    <n v="11"/>
    <n v="10"/>
    <n v="20"/>
    <n v="44550"/>
    <n v="45610.98"/>
    <n v="-1060.9800000000032"/>
    <s v="YES"/>
    <x v="0"/>
    <x v="2"/>
  </r>
  <r>
    <s v="ORD00393"/>
    <x v="64"/>
    <x v="1"/>
    <x v="3"/>
    <x v="7"/>
    <x v="2"/>
    <x v="7"/>
    <n v="18000"/>
    <n v="9"/>
    <n v="10"/>
    <n v="15"/>
    <n v="145800"/>
    <n v="125948.53"/>
    <n v="19851.47"/>
    <s v="YES"/>
    <x v="1"/>
    <x v="2"/>
  </r>
  <r>
    <s v="ORD00394"/>
    <x v="127"/>
    <x v="1"/>
    <x v="2"/>
    <x v="1"/>
    <x v="1"/>
    <x v="1"/>
    <n v="1800"/>
    <n v="11"/>
    <n v="15"/>
    <n v="20"/>
    <n v="16830"/>
    <n v="16483.939999999999"/>
    <n v="346.06000000000131"/>
    <s v="YES"/>
    <x v="1"/>
    <x v="2"/>
  </r>
  <r>
    <s v="ORD00395"/>
    <x v="111"/>
    <x v="0"/>
    <x v="3"/>
    <x v="1"/>
    <x v="1"/>
    <x v="1"/>
    <n v="1800"/>
    <n v="3"/>
    <n v="10"/>
    <n v="20"/>
    <n v="4860"/>
    <n v="4226.04"/>
    <n v="633.96"/>
    <s v="YES"/>
    <x v="1"/>
    <x v="2"/>
  </r>
  <r>
    <s v="ORD00396"/>
    <x v="16"/>
    <x v="3"/>
    <x v="0"/>
    <x v="4"/>
    <x v="2"/>
    <x v="4"/>
    <n v="15000"/>
    <n v="2"/>
    <n v="15"/>
    <n v="10"/>
    <n v="25500"/>
    <n v="21691.599999999999"/>
    <n v="3808.4000000000015"/>
    <s v="NO"/>
    <x v="1"/>
    <x v="1"/>
  </r>
  <r>
    <s v="ORD00397"/>
    <x v="159"/>
    <x v="2"/>
    <x v="2"/>
    <x v="18"/>
    <x v="5"/>
    <x v="13"/>
    <n v="18000"/>
    <n v="6"/>
    <n v="5"/>
    <n v="15"/>
    <n v="102600"/>
    <n v="97152.49"/>
    <n v="5447.5099999999948"/>
    <s v="YES"/>
    <x v="1"/>
    <x v="2"/>
  </r>
  <r>
    <s v="ORD00398"/>
    <x v="66"/>
    <x v="2"/>
    <x v="3"/>
    <x v="15"/>
    <x v="2"/>
    <x v="6"/>
    <n v="2500"/>
    <n v="14"/>
    <n v="15"/>
    <n v="5"/>
    <n v="29750"/>
    <n v="26883.15"/>
    <n v="2866.8499999999985"/>
    <s v="NO"/>
    <x v="1"/>
    <x v="1"/>
  </r>
  <r>
    <s v="ORD00399"/>
    <x v="129"/>
    <x v="0"/>
    <x v="2"/>
    <x v="13"/>
    <x v="0"/>
    <x v="12"/>
    <n v="8000"/>
    <n v="15"/>
    <n v="10"/>
    <n v="10"/>
    <n v="108000"/>
    <n v="95533.49"/>
    <n v="12466.509999999995"/>
    <s v="NO"/>
    <x v="1"/>
    <x v="1"/>
  </r>
  <r>
    <s v="ORD00400"/>
    <x v="152"/>
    <x v="3"/>
    <x v="3"/>
    <x v="6"/>
    <x v="2"/>
    <x v="6"/>
    <n v="4500"/>
    <n v="14"/>
    <n v="5"/>
    <n v="20"/>
    <n v="59850"/>
    <n v="59088.17"/>
    <n v="761.83000000000175"/>
    <s v="YES"/>
    <x v="1"/>
    <x v="2"/>
  </r>
  <r>
    <s v="ORD00401"/>
    <x v="86"/>
    <x v="3"/>
    <x v="5"/>
    <x v="23"/>
    <x v="0"/>
    <x v="12"/>
    <n v="7000"/>
    <n v="5"/>
    <n v="15"/>
    <n v="25"/>
    <n v="29750"/>
    <n v="28337.919999999998"/>
    <n v="1412.0800000000017"/>
    <s v="YES"/>
    <x v="1"/>
    <x v="2"/>
  </r>
  <r>
    <s v="ORD00402"/>
    <x v="135"/>
    <x v="3"/>
    <x v="3"/>
    <x v="15"/>
    <x v="2"/>
    <x v="6"/>
    <n v="2500"/>
    <n v="7"/>
    <n v="5"/>
    <n v="25"/>
    <n v="16625"/>
    <n v="15826.83"/>
    <n v="798.17000000000007"/>
    <s v="YES"/>
    <x v="1"/>
    <x v="2"/>
  </r>
  <r>
    <s v="ORD00403"/>
    <x v="49"/>
    <x v="2"/>
    <x v="3"/>
    <x v="23"/>
    <x v="0"/>
    <x v="12"/>
    <n v="7000"/>
    <n v="1"/>
    <n v="10"/>
    <n v="5"/>
    <n v="6300"/>
    <n v="5724.64"/>
    <n v="575.35999999999967"/>
    <s v="NO"/>
    <x v="1"/>
    <x v="1"/>
  </r>
  <r>
    <s v="ORD00404"/>
    <x v="52"/>
    <x v="1"/>
    <x v="5"/>
    <x v="13"/>
    <x v="0"/>
    <x v="12"/>
    <n v="8000"/>
    <n v="11"/>
    <n v="15"/>
    <n v="20"/>
    <n v="74800"/>
    <n v="73000.27"/>
    <n v="1799.7299999999959"/>
    <s v="YES"/>
    <x v="1"/>
    <x v="2"/>
  </r>
  <r>
    <s v="ORD00405"/>
    <x v="150"/>
    <x v="3"/>
    <x v="2"/>
    <x v="23"/>
    <x v="0"/>
    <x v="12"/>
    <n v="7000"/>
    <n v="7"/>
    <n v="15"/>
    <n v="15"/>
    <n v="41650"/>
    <n v="43264.49"/>
    <n v="-1614.489999999998"/>
    <s v="NO"/>
    <x v="0"/>
    <x v="0"/>
  </r>
  <r>
    <s v="ORD00406"/>
    <x v="145"/>
    <x v="1"/>
    <x v="2"/>
    <x v="22"/>
    <x v="0"/>
    <x v="10"/>
    <n v="35000"/>
    <n v="1"/>
    <n v="15"/>
    <n v="0"/>
    <n v="29750"/>
    <n v="29834.99"/>
    <n v="-84.990000000001601"/>
    <s v="NO"/>
    <x v="0"/>
    <x v="0"/>
  </r>
  <r>
    <s v="ORD00407"/>
    <x v="35"/>
    <x v="0"/>
    <x v="5"/>
    <x v="2"/>
    <x v="1"/>
    <x v="2"/>
    <n v="1200"/>
    <n v="12"/>
    <n v="5"/>
    <n v="5"/>
    <n v="13680"/>
    <n v="11649.98"/>
    <n v="2030.0200000000004"/>
    <s v="NO"/>
    <x v="1"/>
    <x v="1"/>
  </r>
  <r>
    <s v="ORD00408"/>
    <x v="89"/>
    <x v="1"/>
    <x v="3"/>
    <x v="19"/>
    <x v="0"/>
    <x v="12"/>
    <n v="3500"/>
    <n v="1"/>
    <n v="10"/>
    <n v="25"/>
    <n v="3150"/>
    <n v="3216.51"/>
    <n v="-66.510000000000218"/>
    <s v="YES"/>
    <x v="0"/>
    <x v="2"/>
  </r>
  <r>
    <s v="ORD00409"/>
    <x v="69"/>
    <x v="3"/>
    <x v="1"/>
    <x v="16"/>
    <x v="1"/>
    <x v="3"/>
    <n v="1500"/>
    <n v="15"/>
    <n v="5"/>
    <n v="15"/>
    <n v="21375"/>
    <n v="21802.720000000001"/>
    <n v="-427.72000000000116"/>
    <s v="YES"/>
    <x v="0"/>
    <x v="2"/>
  </r>
  <r>
    <s v="ORD00410"/>
    <x v="65"/>
    <x v="3"/>
    <x v="1"/>
    <x v="1"/>
    <x v="1"/>
    <x v="1"/>
    <n v="1800"/>
    <n v="1"/>
    <n v="15"/>
    <n v="20"/>
    <n v="1530"/>
    <n v="1603.02"/>
    <n v="-73.019999999999982"/>
    <s v="YES"/>
    <x v="0"/>
    <x v="2"/>
  </r>
  <r>
    <s v="ORD00411"/>
    <x v="15"/>
    <x v="0"/>
    <x v="4"/>
    <x v="16"/>
    <x v="1"/>
    <x v="3"/>
    <n v="1500"/>
    <n v="11"/>
    <n v="15"/>
    <n v="10"/>
    <n v="14025"/>
    <n v="13770.84"/>
    <n v="254.15999999999985"/>
    <s v="NO"/>
    <x v="1"/>
    <x v="1"/>
  </r>
  <r>
    <s v="ORD00412"/>
    <x v="40"/>
    <x v="0"/>
    <x v="5"/>
    <x v="16"/>
    <x v="1"/>
    <x v="3"/>
    <n v="1500"/>
    <n v="3"/>
    <n v="15"/>
    <n v="25"/>
    <n v="3825"/>
    <n v="3781.58"/>
    <n v="43.420000000000073"/>
    <s v="YES"/>
    <x v="1"/>
    <x v="2"/>
  </r>
  <r>
    <s v="ORD00413"/>
    <x v="114"/>
    <x v="3"/>
    <x v="3"/>
    <x v="21"/>
    <x v="6"/>
    <x v="14"/>
    <n v="3500"/>
    <n v="12"/>
    <n v="5"/>
    <n v="0"/>
    <n v="39900"/>
    <n v="38137.629999999997"/>
    <n v="1762.3700000000026"/>
    <s v="NO"/>
    <x v="1"/>
    <x v="1"/>
  </r>
  <r>
    <s v="ORD00414"/>
    <x v="99"/>
    <x v="1"/>
    <x v="3"/>
    <x v="17"/>
    <x v="1"/>
    <x v="1"/>
    <n v="1200"/>
    <n v="13"/>
    <n v="5"/>
    <n v="0"/>
    <n v="14820"/>
    <n v="14118.55"/>
    <n v="701.45000000000073"/>
    <s v="NO"/>
    <x v="1"/>
    <x v="1"/>
  </r>
  <r>
    <s v="ORD00415"/>
    <x v="31"/>
    <x v="3"/>
    <x v="5"/>
    <x v="17"/>
    <x v="1"/>
    <x v="1"/>
    <n v="1200"/>
    <n v="6"/>
    <n v="10"/>
    <n v="15"/>
    <n v="6480"/>
    <n v="5539.2"/>
    <n v="940.80000000000018"/>
    <s v="YES"/>
    <x v="1"/>
    <x v="2"/>
  </r>
  <r>
    <s v="ORD00416"/>
    <x v="127"/>
    <x v="0"/>
    <x v="1"/>
    <x v="22"/>
    <x v="0"/>
    <x v="10"/>
    <n v="35000"/>
    <n v="4"/>
    <n v="5"/>
    <n v="15"/>
    <n v="133000"/>
    <n v="139523.07999999999"/>
    <n v="-6523.0799999999872"/>
    <s v="YES"/>
    <x v="0"/>
    <x v="2"/>
  </r>
  <r>
    <s v="ORD00417"/>
    <x v="78"/>
    <x v="0"/>
    <x v="3"/>
    <x v="18"/>
    <x v="5"/>
    <x v="13"/>
    <n v="18000"/>
    <n v="5"/>
    <n v="10"/>
    <n v="0"/>
    <n v="81000"/>
    <n v="78447.41"/>
    <n v="2552.5899999999965"/>
    <s v="NO"/>
    <x v="1"/>
    <x v="1"/>
  </r>
  <r>
    <s v="ORD00418"/>
    <x v="145"/>
    <x v="2"/>
    <x v="4"/>
    <x v="13"/>
    <x v="0"/>
    <x v="12"/>
    <n v="8000"/>
    <n v="13"/>
    <n v="10"/>
    <n v="10"/>
    <n v="93600"/>
    <n v="86661.14"/>
    <n v="6938.8600000000006"/>
    <s v="NO"/>
    <x v="1"/>
    <x v="1"/>
  </r>
  <r>
    <s v="ORD00419"/>
    <x v="110"/>
    <x v="0"/>
    <x v="4"/>
    <x v="16"/>
    <x v="1"/>
    <x v="3"/>
    <n v="1500"/>
    <n v="13"/>
    <n v="5"/>
    <n v="20"/>
    <n v="18525"/>
    <n v="18946.46"/>
    <n v="-421.45999999999913"/>
    <s v="YES"/>
    <x v="0"/>
    <x v="2"/>
  </r>
  <r>
    <s v="ORD00420"/>
    <x v="97"/>
    <x v="2"/>
    <x v="2"/>
    <x v="10"/>
    <x v="1"/>
    <x v="9"/>
    <n v="1200"/>
    <n v="6"/>
    <n v="15"/>
    <n v="25"/>
    <n v="6120"/>
    <n v="6242.51"/>
    <n v="-122.51000000000022"/>
    <s v="YES"/>
    <x v="0"/>
    <x v="2"/>
  </r>
  <r>
    <s v="ORD00421"/>
    <x v="160"/>
    <x v="2"/>
    <x v="3"/>
    <x v="3"/>
    <x v="1"/>
    <x v="3"/>
    <n v="500"/>
    <n v="14"/>
    <n v="5"/>
    <n v="25"/>
    <n v="6650"/>
    <n v="6272.05"/>
    <n v="377.94999999999982"/>
    <s v="YES"/>
    <x v="1"/>
    <x v="2"/>
  </r>
  <r>
    <s v="ORD00422"/>
    <x v="161"/>
    <x v="0"/>
    <x v="2"/>
    <x v="20"/>
    <x v="6"/>
    <x v="14"/>
    <n v="12000"/>
    <n v="11"/>
    <n v="15"/>
    <n v="15"/>
    <n v="112200"/>
    <n v="97651.3"/>
    <n v="14548.699999999997"/>
    <s v="NO"/>
    <x v="1"/>
    <x v="1"/>
  </r>
  <r>
    <s v="ORD00423"/>
    <x v="47"/>
    <x v="0"/>
    <x v="4"/>
    <x v="21"/>
    <x v="6"/>
    <x v="14"/>
    <n v="3500"/>
    <n v="11"/>
    <n v="15"/>
    <n v="5"/>
    <n v="32725"/>
    <n v="28118.84"/>
    <n v="4606.16"/>
    <s v="NO"/>
    <x v="1"/>
    <x v="1"/>
  </r>
  <r>
    <s v="ORD00424"/>
    <x v="116"/>
    <x v="1"/>
    <x v="3"/>
    <x v="17"/>
    <x v="1"/>
    <x v="1"/>
    <n v="1200"/>
    <n v="15"/>
    <n v="5"/>
    <n v="20"/>
    <n v="17100"/>
    <n v="16805.61"/>
    <n v="294.38999999999942"/>
    <s v="YES"/>
    <x v="1"/>
    <x v="2"/>
  </r>
  <r>
    <s v="ORD00425"/>
    <x v="142"/>
    <x v="1"/>
    <x v="3"/>
    <x v="12"/>
    <x v="4"/>
    <x v="11"/>
    <n v="8000"/>
    <n v="10"/>
    <n v="10"/>
    <n v="15"/>
    <n v="72000"/>
    <n v="66934.570000000007"/>
    <n v="5065.429999999993"/>
    <s v="YES"/>
    <x v="1"/>
    <x v="2"/>
  </r>
  <r>
    <s v="ORD00426"/>
    <x v="96"/>
    <x v="2"/>
    <x v="0"/>
    <x v="20"/>
    <x v="6"/>
    <x v="14"/>
    <n v="12000"/>
    <n v="2"/>
    <n v="5"/>
    <n v="10"/>
    <n v="22800"/>
    <n v="21494.91"/>
    <n v="1305.0900000000001"/>
    <s v="YES"/>
    <x v="1"/>
    <x v="2"/>
  </r>
  <r>
    <s v="ORD00427"/>
    <x v="123"/>
    <x v="3"/>
    <x v="4"/>
    <x v="7"/>
    <x v="2"/>
    <x v="7"/>
    <n v="18000"/>
    <n v="14"/>
    <n v="10"/>
    <n v="5"/>
    <n v="226800"/>
    <n v="216096.75"/>
    <n v="10703.25"/>
    <s v="NO"/>
    <x v="1"/>
    <x v="1"/>
  </r>
  <r>
    <s v="ORD00428"/>
    <x v="152"/>
    <x v="3"/>
    <x v="0"/>
    <x v="17"/>
    <x v="1"/>
    <x v="1"/>
    <n v="1200"/>
    <n v="14"/>
    <n v="5"/>
    <n v="0"/>
    <n v="15960"/>
    <n v="15414.16"/>
    <n v="545.84000000000015"/>
    <s v="NO"/>
    <x v="1"/>
    <x v="1"/>
  </r>
  <r>
    <s v="ORD00429"/>
    <x v="161"/>
    <x v="1"/>
    <x v="2"/>
    <x v="9"/>
    <x v="3"/>
    <x v="8"/>
    <n v="4000"/>
    <n v="9"/>
    <n v="10"/>
    <n v="15"/>
    <n v="32400"/>
    <n v="28948.58"/>
    <n v="3451.4199999999983"/>
    <s v="YES"/>
    <x v="1"/>
    <x v="2"/>
  </r>
  <r>
    <s v="ORD00430"/>
    <x v="120"/>
    <x v="3"/>
    <x v="1"/>
    <x v="0"/>
    <x v="0"/>
    <x v="0"/>
    <n v="6000"/>
    <n v="14"/>
    <n v="15"/>
    <n v="25"/>
    <n v="71400"/>
    <n v="67253.91"/>
    <n v="4146.0899999999965"/>
    <s v="YES"/>
    <x v="1"/>
    <x v="2"/>
  </r>
  <r>
    <s v="ORD00431"/>
    <x v="144"/>
    <x v="0"/>
    <x v="5"/>
    <x v="10"/>
    <x v="1"/>
    <x v="9"/>
    <n v="1200"/>
    <n v="7"/>
    <n v="10"/>
    <n v="10"/>
    <n v="7560"/>
    <n v="7644.8"/>
    <n v="-84.800000000000182"/>
    <s v="NO"/>
    <x v="0"/>
    <x v="0"/>
  </r>
  <r>
    <s v="ORD00432"/>
    <x v="133"/>
    <x v="0"/>
    <x v="0"/>
    <x v="19"/>
    <x v="0"/>
    <x v="12"/>
    <n v="3500"/>
    <n v="10"/>
    <n v="15"/>
    <n v="15"/>
    <n v="29750"/>
    <n v="26209.599999999999"/>
    <n v="3540.4000000000015"/>
    <s v="NO"/>
    <x v="1"/>
    <x v="1"/>
  </r>
  <r>
    <s v="ORD00433"/>
    <x v="80"/>
    <x v="1"/>
    <x v="4"/>
    <x v="4"/>
    <x v="2"/>
    <x v="4"/>
    <n v="15000"/>
    <n v="1"/>
    <n v="10"/>
    <n v="25"/>
    <n v="13500"/>
    <n v="13678.72"/>
    <n v="-178.71999999999935"/>
    <s v="YES"/>
    <x v="0"/>
    <x v="2"/>
  </r>
  <r>
    <s v="ORD00434"/>
    <x v="146"/>
    <x v="1"/>
    <x v="3"/>
    <x v="12"/>
    <x v="4"/>
    <x v="11"/>
    <n v="8000"/>
    <n v="1"/>
    <n v="15"/>
    <n v="5"/>
    <n v="6800"/>
    <n v="6586.73"/>
    <n v="213.27000000000044"/>
    <s v="NO"/>
    <x v="1"/>
    <x v="1"/>
  </r>
  <r>
    <s v="ORD00435"/>
    <x v="36"/>
    <x v="2"/>
    <x v="3"/>
    <x v="3"/>
    <x v="1"/>
    <x v="3"/>
    <n v="500"/>
    <n v="15"/>
    <n v="15"/>
    <n v="20"/>
    <n v="6375"/>
    <n v="6319.55"/>
    <n v="55.449999999999818"/>
    <s v="YES"/>
    <x v="1"/>
    <x v="2"/>
  </r>
  <r>
    <s v="ORD00436"/>
    <x v="58"/>
    <x v="0"/>
    <x v="0"/>
    <x v="1"/>
    <x v="1"/>
    <x v="1"/>
    <n v="1800"/>
    <n v="15"/>
    <n v="5"/>
    <n v="20"/>
    <n v="25650"/>
    <n v="23394.54"/>
    <n v="2255.4599999999991"/>
    <s v="YES"/>
    <x v="1"/>
    <x v="2"/>
  </r>
  <r>
    <s v="ORD00437"/>
    <x v="162"/>
    <x v="3"/>
    <x v="0"/>
    <x v="3"/>
    <x v="1"/>
    <x v="3"/>
    <n v="500"/>
    <n v="13"/>
    <n v="10"/>
    <n v="20"/>
    <n v="5850"/>
    <n v="5186.78"/>
    <n v="663.22000000000025"/>
    <s v="YES"/>
    <x v="1"/>
    <x v="2"/>
  </r>
  <r>
    <s v="ORD00438"/>
    <x v="163"/>
    <x v="1"/>
    <x v="0"/>
    <x v="1"/>
    <x v="1"/>
    <x v="1"/>
    <n v="1800"/>
    <n v="8"/>
    <n v="5"/>
    <n v="20"/>
    <n v="13680"/>
    <n v="13024.25"/>
    <n v="655.75"/>
    <s v="YES"/>
    <x v="1"/>
    <x v="2"/>
  </r>
  <r>
    <s v="ORD00439"/>
    <x v="69"/>
    <x v="2"/>
    <x v="1"/>
    <x v="10"/>
    <x v="1"/>
    <x v="9"/>
    <n v="1200"/>
    <n v="9"/>
    <n v="10"/>
    <n v="5"/>
    <n v="9720"/>
    <n v="10044.48"/>
    <n v="-324.47999999999956"/>
    <s v="NO"/>
    <x v="0"/>
    <x v="0"/>
  </r>
  <r>
    <s v="ORD00440"/>
    <x v="81"/>
    <x v="3"/>
    <x v="1"/>
    <x v="4"/>
    <x v="2"/>
    <x v="4"/>
    <n v="15000"/>
    <n v="2"/>
    <n v="5"/>
    <n v="15"/>
    <n v="28500"/>
    <n v="27267.72"/>
    <n v="1232.2799999999988"/>
    <s v="YES"/>
    <x v="1"/>
    <x v="2"/>
  </r>
  <r>
    <s v="ORD00441"/>
    <x v="164"/>
    <x v="1"/>
    <x v="5"/>
    <x v="18"/>
    <x v="5"/>
    <x v="13"/>
    <n v="18000"/>
    <n v="7"/>
    <n v="5"/>
    <n v="25"/>
    <n v="119700"/>
    <n v="103776.27"/>
    <n v="15923.729999999996"/>
    <s v="YES"/>
    <x v="1"/>
    <x v="2"/>
  </r>
  <r>
    <s v="ORD00442"/>
    <x v="3"/>
    <x v="3"/>
    <x v="5"/>
    <x v="4"/>
    <x v="2"/>
    <x v="4"/>
    <n v="15000"/>
    <n v="1"/>
    <n v="15"/>
    <n v="20"/>
    <n v="12750"/>
    <n v="13017.5"/>
    <n v="-267.5"/>
    <s v="YES"/>
    <x v="0"/>
    <x v="2"/>
  </r>
  <r>
    <s v="ORD00443"/>
    <x v="130"/>
    <x v="0"/>
    <x v="5"/>
    <x v="4"/>
    <x v="2"/>
    <x v="4"/>
    <n v="15000"/>
    <n v="3"/>
    <n v="5"/>
    <n v="15"/>
    <n v="42750"/>
    <n v="41403.15"/>
    <n v="1346.8499999999985"/>
    <s v="YES"/>
    <x v="1"/>
    <x v="2"/>
  </r>
  <r>
    <s v="ORD00444"/>
    <x v="49"/>
    <x v="0"/>
    <x v="5"/>
    <x v="1"/>
    <x v="1"/>
    <x v="1"/>
    <n v="1800"/>
    <n v="11"/>
    <n v="15"/>
    <n v="20"/>
    <n v="16830"/>
    <n v="15440.02"/>
    <n v="1389.9799999999996"/>
    <s v="YES"/>
    <x v="1"/>
    <x v="2"/>
  </r>
  <r>
    <s v="ORD00445"/>
    <x v="21"/>
    <x v="2"/>
    <x v="2"/>
    <x v="22"/>
    <x v="0"/>
    <x v="10"/>
    <n v="35000"/>
    <n v="1"/>
    <n v="10"/>
    <n v="0"/>
    <n v="31500"/>
    <n v="27738.2"/>
    <n v="3761.7999999999993"/>
    <s v="NO"/>
    <x v="1"/>
    <x v="1"/>
  </r>
  <r>
    <s v="ORD00446"/>
    <x v="93"/>
    <x v="3"/>
    <x v="5"/>
    <x v="5"/>
    <x v="0"/>
    <x v="5"/>
    <n v="4500"/>
    <n v="4"/>
    <n v="15"/>
    <n v="20"/>
    <n v="15300"/>
    <n v="13484.15"/>
    <n v="1815.8500000000004"/>
    <s v="YES"/>
    <x v="1"/>
    <x v="2"/>
  </r>
  <r>
    <s v="ORD00447"/>
    <x v="26"/>
    <x v="2"/>
    <x v="4"/>
    <x v="14"/>
    <x v="1"/>
    <x v="2"/>
    <n v="6500"/>
    <n v="10"/>
    <n v="10"/>
    <n v="5"/>
    <n v="58500"/>
    <n v="50975.58"/>
    <n v="7524.4199999999983"/>
    <s v="NO"/>
    <x v="1"/>
    <x v="1"/>
  </r>
  <r>
    <s v="ORD00448"/>
    <x v="109"/>
    <x v="2"/>
    <x v="1"/>
    <x v="6"/>
    <x v="2"/>
    <x v="6"/>
    <n v="4500"/>
    <n v="2"/>
    <n v="5"/>
    <n v="25"/>
    <n v="8550"/>
    <n v="8103.79"/>
    <n v="446.21000000000004"/>
    <s v="YES"/>
    <x v="1"/>
    <x v="2"/>
  </r>
  <r>
    <s v="ORD00449"/>
    <x v="57"/>
    <x v="1"/>
    <x v="0"/>
    <x v="19"/>
    <x v="0"/>
    <x v="12"/>
    <n v="3500"/>
    <n v="2"/>
    <n v="15"/>
    <n v="20"/>
    <n v="5950"/>
    <n v="5222.18"/>
    <n v="727.81999999999971"/>
    <s v="YES"/>
    <x v="1"/>
    <x v="2"/>
  </r>
  <r>
    <s v="ORD00450"/>
    <x v="82"/>
    <x v="3"/>
    <x v="5"/>
    <x v="23"/>
    <x v="0"/>
    <x v="12"/>
    <n v="7000"/>
    <n v="5"/>
    <n v="5"/>
    <n v="0"/>
    <n v="33250"/>
    <n v="30750.31"/>
    <n v="2499.6899999999987"/>
    <s v="NO"/>
    <x v="1"/>
    <x v="1"/>
  </r>
  <r>
    <s v="ORD00451"/>
    <x v="49"/>
    <x v="3"/>
    <x v="5"/>
    <x v="8"/>
    <x v="1"/>
    <x v="3"/>
    <n v="2800"/>
    <n v="3"/>
    <n v="10"/>
    <n v="5"/>
    <n v="7560"/>
    <n v="7554.95"/>
    <n v="5.0500000000001819"/>
    <s v="NO"/>
    <x v="1"/>
    <x v="1"/>
  </r>
  <r>
    <s v="ORD00452"/>
    <x v="143"/>
    <x v="1"/>
    <x v="1"/>
    <x v="23"/>
    <x v="0"/>
    <x v="12"/>
    <n v="7000"/>
    <n v="8"/>
    <n v="5"/>
    <n v="5"/>
    <n v="53200"/>
    <n v="52480.49"/>
    <n v="719.51000000000204"/>
    <s v="NO"/>
    <x v="1"/>
    <x v="1"/>
  </r>
  <r>
    <s v="ORD00453"/>
    <x v="127"/>
    <x v="0"/>
    <x v="3"/>
    <x v="13"/>
    <x v="0"/>
    <x v="12"/>
    <n v="8000"/>
    <n v="4"/>
    <n v="10"/>
    <n v="20"/>
    <n v="28800"/>
    <n v="29327.26"/>
    <n v="-527.2599999999984"/>
    <s v="YES"/>
    <x v="0"/>
    <x v="2"/>
  </r>
  <r>
    <s v="ORD00454"/>
    <x v="65"/>
    <x v="3"/>
    <x v="5"/>
    <x v="17"/>
    <x v="1"/>
    <x v="1"/>
    <n v="1200"/>
    <n v="3"/>
    <n v="5"/>
    <n v="15"/>
    <n v="3420"/>
    <n v="2907.11"/>
    <n v="512.88999999999987"/>
    <s v="YES"/>
    <x v="1"/>
    <x v="2"/>
  </r>
  <r>
    <s v="ORD00455"/>
    <x v="13"/>
    <x v="1"/>
    <x v="5"/>
    <x v="22"/>
    <x v="0"/>
    <x v="10"/>
    <n v="35000"/>
    <n v="12"/>
    <n v="15"/>
    <n v="15"/>
    <n v="357000"/>
    <n v="329002.59000000003"/>
    <n v="27997.409999999974"/>
    <s v="NO"/>
    <x v="1"/>
    <x v="1"/>
  </r>
  <r>
    <s v="ORD00456"/>
    <x v="18"/>
    <x v="3"/>
    <x v="5"/>
    <x v="10"/>
    <x v="1"/>
    <x v="9"/>
    <n v="1200"/>
    <n v="6"/>
    <n v="10"/>
    <n v="15"/>
    <n v="6480"/>
    <n v="6641.64"/>
    <n v="-161.64000000000033"/>
    <s v="YES"/>
    <x v="0"/>
    <x v="2"/>
  </r>
  <r>
    <s v="ORD00457"/>
    <x v="111"/>
    <x v="3"/>
    <x v="5"/>
    <x v="12"/>
    <x v="4"/>
    <x v="11"/>
    <n v="8000"/>
    <n v="6"/>
    <n v="10"/>
    <n v="5"/>
    <n v="43200"/>
    <n v="37850.980000000003"/>
    <n v="5349.0199999999968"/>
    <s v="NO"/>
    <x v="1"/>
    <x v="1"/>
  </r>
  <r>
    <s v="ORD00458"/>
    <x v="15"/>
    <x v="2"/>
    <x v="2"/>
    <x v="11"/>
    <x v="0"/>
    <x v="10"/>
    <n v="60000"/>
    <n v="1"/>
    <n v="5"/>
    <n v="20"/>
    <n v="57000"/>
    <n v="50771.14"/>
    <n v="6228.8600000000006"/>
    <s v="YES"/>
    <x v="1"/>
    <x v="2"/>
  </r>
  <r>
    <s v="ORD00459"/>
    <x v="24"/>
    <x v="0"/>
    <x v="3"/>
    <x v="15"/>
    <x v="2"/>
    <x v="6"/>
    <n v="2500"/>
    <n v="14"/>
    <n v="10"/>
    <n v="10"/>
    <n v="31500"/>
    <n v="30003.64"/>
    <n v="1496.3600000000006"/>
    <s v="NO"/>
    <x v="1"/>
    <x v="1"/>
  </r>
  <r>
    <s v="ORD00460"/>
    <x v="37"/>
    <x v="0"/>
    <x v="1"/>
    <x v="0"/>
    <x v="0"/>
    <x v="0"/>
    <n v="6000"/>
    <n v="13"/>
    <n v="5"/>
    <n v="20"/>
    <n v="74100"/>
    <n v="65185.49"/>
    <n v="8914.510000000002"/>
    <s v="YES"/>
    <x v="1"/>
    <x v="2"/>
  </r>
  <r>
    <s v="ORD00461"/>
    <x v="107"/>
    <x v="3"/>
    <x v="4"/>
    <x v="7"/>
    <x v="2"/>
    <x v="7"/>
    <n v="18000"/>
    <n v="4"/>
    <n v="10"/>
    <n v="5"/>
    <n v="64800"/>
    <n v="60310.720000000001"/>
    <n v="4489.2799999999988"/>
    <s v="NO"/>
    <x v="1"/>
    <x v="1"/>
  </r>
  <r>
    <s v="ORD00462"/>
    <x v="156"/>
    <x v="0"/>
    <x v="2"/>
    <x v="23"/>
    <x v="0"/>
    <x v="12"/>
    <n v="7000"/>
    <n v="15"/>
    <n v="10"/>
    <n v="0"/>
    <n v="94500"/>
    <n v="84375.679999999993"/>
    <n v="10124.320000000007"/>
    <s v="NO"/>
    <x v="1"/>
    <x v="1"/>
  </r>
  <r>
    <s v="ORD00463"/>
    <x v="33"/>
    <x v="2"/>
    <x v="1"/>
    <x v="1"/>
    <x v="1"/>
    <x v="1"/>
    <n v="1800"/>
    <n v="10"/>
    <n v="10"/>
    <n v="0"/>
    <n v="16200"/>
    <n v="13931.9"/>
    <n v="2268.1000000000004"/>
    <s v="NO"/>
    <x v="1"/>
    <x v="1"/>
  </r>
  <r>
    <s v="ORD00464"/>
    <x v="90"/>
    <x v="0"/>
    <x v="1"/>
    <x v="20"/>
    <x v="6"/>
    <x v="14"/>
    <n v="12000"/>
    <n v="2"/>
    <n v="5"/>
    <n v="5"/>
    <n v="22800"/>
    <n v="21761.57"/>
    <n v="1038.4300000000003"/>
    <s v="NO"/>
    <x v="1"/>
    <x v="1"/>
  </r>
  <r>
    <s v="ORD00465"/>
    <x v="150"/>
    <x v="1"/>
    <x v="3"/>
    <x v="20"/>
    <x v="6"/>
    <x v="14"/>
    <n v="12000"/>
    <n v="1"/>
    <n v="5"/>
    <n v="25"/>
    <n v="11400"/>
    <n v="11356.91"/>
    <n v="43.090000000000146"/>
    <s v="YES"/>
    <x v="1"/>
    <x v="2"/>
  </r>
  <r>
    <s v="ORD00466"/>
    <x v="144"/>
    <x v="3"/>
    <x v="1"/>
    <x v="11"/>
    <x v="0"/>
    <x v="10"/>
    <n v="60000"/>
    <n v="9"/>
    <n v="5"/>
    <n v="5"/>
    <n v="513000"/>
    <n v="521188.08"/>
    <n v="-8188.0800000000163"/>
    <s v="NO"/>
    <x v="0"/>
    <x v="0"/>
  </r>
  <r>
    <s v="ORD00467"/>
    <x v="107"/>
    <x v="0"/>
    <x v="3"/>
    <x v="2"/>
    <x v="1"/>
    <x v="2"/>
    <n v="1200"/>
    <n v="10"/>
    <n v="15"/>
    <n v="5"/>
    <n v="10200"/>
    <n v="10172.200000000001"/>
    <n v="27.799999999999272"/>
    <s v="NO"/>
    <x v="1"/>
    <x v="1"/>
  </r>
  <r>
    <s v="ORD00468"/>
    <x v="136"/>
    <x v="0"/>
    <x v="4"/>
    <x v="17"/>
    <x v="1"/>
    <x v="1"/>
    <n v="1200"/>
    <n v="10"/>
    <n v="10"/>
    <n v="10"/>
    <n v="10800"/>
    <n v="11250.08"/>
    <n v="-450.07999999999993"/>
    <s v="NO"/>
    <x v="0"/>
    <x v="0"/>
  </r>
  <r>
    <s v="ORD00469"/>
    <x v="90"/>
    <x v="3"/>
    <x v="0"/>
    <x v="18"/>
    <x v="5"/>
    <x v="13"/>
    <n v="18000"/>
    <n v="12"/>
    <n v="5"/>
    <n v="10"/>
    <n v="205200"/>
    <n v="209598.01"/>
    <n v="-4398.0100000000093"/>
    <s v="YES"/>
    <x v="0"/>
    <x v="2"/>
  </r>
  <r>
    <s v="ORD00470"/>
    <x v="35"/>
    <x v="3"/>
    <x v="5"/>
    <x v="22"/>
    <x v="0"/>
    <x v="10"/>
    <n v="35000"/>
    <n v="5"/>
    <n v="5"/>
    <n v="0"/>
    <n v="166250"/>
    <n v="144054.29999999999"/>
    <n v="22195.700000000012"/>
    <s v="NO"/>
    <x v="1"/>
    <x v="1"/>
  </r>
  <r>
    <s v="ORD00471"/>
    <x v="35"/>
    <x v="2"/>
    <x v="0"/>
    <x v="19"/>
    <x v="0"/>
    <x v="12"/>
    <n v="3500"/>
    <n v="13"/>
    <n v="5"/>
    <n v="25"/>
    <n v="43225"/>
    <n v="42863.12"/>
    <n v="361.87999999999738"/>
    <s v="YES"/>
    <x v="1"/>
    <x v="2"/>
  </r>
  <r>
    <s v="ORD00472"/>
    <x v="24"/>
    <x v="3"/>
    <x v="3"/>
    <x v="0"/>
    <x v="0"/>
    <x v="0"/>
    <n v="6000"/>
    <n v="10"/>
    <n v="5"/>
    <n v="0"/>
    <n v="57000"/>
    <n v="50234.43"/>
    <n v="6765.57"/>
    <s v="NO"/>
    <x v="1"/>
    <x v="1"/>
  </r>
  <r>
    <s v="ORD00473"/>
    <x v="109"/>
    <x v="2"/>
    <x v="3"/>
    <x v="10"/>
    <x v="1"/>
    <x v="9"/>
    <n v="1200"/>
    <n v="8"/>
    <n v="10"/>
    <n v="20"/>
    <n v="8640"/>
    <n v="7518.05"/>
    <n v="1121.9499999999998"/>
    <s v="YES"/>
    <x v="1"/>
    <x v="2"/>
  </r>
  <r>
    <s v="ORD00474"/>
    <x v="73"/>
    <x v="3"/>
    <x v="5"/>
    <x v="1"/>
    <x v="1"/>
    <x v="1"/>
    <n v="1800"/>
    <n v="9"/>
    <n v="10"/>
    <n v="10"/>
    <n v="14580"/>
    <n v="14759.76"/>
    <n v="-179.76000000000022"/>
    <s v="NO"/>
    <x v="0"/>
    <x v="0"/>
  </r>
  <r>
    <s v="ORD00475"/>
    <x v="97"/>
    <x v="3"/>
    <x v="0"/>
    <x v="10"/>
    <x v="1"/>
    <x v="9"/>
    <n v="1200"/>
    <n v="11"/>
    <n v="5"/>
    <n v="5"/>
    <n v="12540"/>
    <n v="11417.7"/>
    <n v="1122.2999999999993"/>
    <s v="NO"/>
    <x v="1"/>
    <x v="1"/>
  </r>
  <r>
    <s v="ORD00476"/>
    <x v="140"/>
    <x v="1"/>
    <x v="1"/>
    <x v="4"/>
    <x v="2"/>
    <x v="4"/>
    <n v="15000"/>
    <n v="14"/>
    <n v="15"/>
    <n v="20"/>
    <n v="178500"/>
    <n v="172679.96"/>
    <n v="5820.0400000000081"/>
    <s v="YES"/>
    <x v="1"/>
    <x v="2"/>
  </r>
  <r>
    <s v="ORD00477"/>
    <x v="41"/>
    <x v="1"/>
    <x v="3"/>
    <x v="21"/>
    <x v="6"/>
    <x v="14"/>
    <n v="3500"/>
    <n v="4"/>
    <n v="15"/>
    <n v="0"/>
    <n v="11900"/>
    <n v="12470.54"/>
    <n v="-570.54000000000087"/>
    <s v="NO"/>
    <x v="0"/>
    <x v="0"/>
  </r>
  <r>
    <s v="ORD00478"/>
    <x v="22"/>
    <x v="0"/>
    <x v="0"/>
    <x v="11"/>
    <x v="0"/>
    <x v="10"/>
    <n v="60000"/>
    <n v="12"/>
    <n v="5"/>
    <n v="25"/>
    <n v="684000"/>
    <n v="581947.21"/>
    <n v="102052.79000000004"/>
    <s v="YES"/>
    <x v="1"/>
    <x v="2"/>
  </r>
  <r>
    <s v="ORD00479"/>
    <x v="14"/>
    <x v="3"/>
    <x v="1"/>
    <x v="22"/>
    <x v="0"/>
    <x v="10"/>
    <n v="35000"/>
    <n v="12"/>
    <n v="10"/>
    <n v="0"/>
    <n v="378000"/>
    <n v="321427.99"/>
    <n v="56572.010000000009"/>
    <s v="NO"/>
    <x v="1"/>
    <x v="1"/>
  </r>
  <r>
    <s v="ORD00480"/>
    <x v="15"/>
    <x v="0"/>
    <x v="3"/>
    <x v="14"/>
    <x v="1"/>
    <x v="2"/>
    <n v="6500"/>
    <n v="4"/>
    <n v="5"/>
    <n v="0"/>
    <n v="24700"/>
    <n v="21742.04"/>
    <n v="2957.9599999999991"/>
    <s v="NO"/>
    <x v="1"/>
    <x v="1"/>
  </r>
  <r>
    <s v="ORD00481"/>
    <x v="53"/>
    <x v="3"/>
    <x v="1"/>
    <x v="5"/>
    <x v="0"/>
    <x v="5"/>
    <n v="4500"/>
    <n v="9"/>
    <n v="5"/>
    <n v="15"/>
    <n v="38475"/>
    <n v="32954.19"/>
    <n v="5520.8099999999977"/>
    <s v="YES"/>
    <x v="1"/>
    <x v="2"/>
  </r>
  <r>
    <s v="ORD00482"/>
    <x v="86"/>
    <x v="2"/>
    <x v="0"/>
    <x v="2"/>
    <x v="1"/>
    <x v="2"/>
    <n v="1200"/>
    <n v="3"/>
    <n v="10"/>
    <n v="25"/>
    <n v="3240"/>
    <n v="3037.64"/>
    <n v="202.36000000000013"/>
    <s v="YES"/>
    <x v="1"/>
    <x v="2"/>
  </r>
  <r>
    <s v="ORD00483"/>
    <x v="56"/>
    <x v="3"/>
    <x v="0"/>
    <x v="11"/>
    <x v="0"/>
    <x v="10"/>
    <n v="60000"/>
    <n v="1"/>
    <n v="10"/>
    <n v="5"/>
    <n v="54000"/>
    <n v="46288.3"/>
    <n v="7711.6999999999971"/>
    <s v="NO"/>
    <x v="1"/>
    <x v="1"/>
  </r>
  <r>
    <s v="ORD00484"/>
    <x v="63"/>
    <x v="1"/>
    <x v="0"/>
    <x v="19"/>
    <x v="0"/>
    <x v="12"/>
    <n v="3500"/>
    <n v="4"/>
    <n v="15"/>
    <n v="25"/>
    <n v="11900"/>
    <n v="11243.89"/>
    <n v="656.11000000000058"/>
    <s v="YES"/>
    <x v="1"/>
    <x v="2"/>
  </r>
  <r>
    <s v="ORD00485"/>
    <x v="113"/>
    <x v="0"/>
    <x v="0"/>
    <x v="15"/>
    <x v="2"/>
    <x v="6"/>
    <n v="2500"/>
    <n v="13"/>
    <n v="5"/>
    <n v="0"/>
    <n v="30875"/>
    <n v="30317.74"/>
    <n v="557.2599999999984"/>
    <s v="NO"/>
    <x v="1"/>
    <x v="1"/>
  </r>
  <r>
    <s v="ORD00486"/>
    <x v="126"/>
    <x v="2"/>
    <x v="0"/>
    <x v="5"/>
    <x v="0"/>
    <x v="5"/>
    <n v="4500"/>
    <n v="7"/>
    <n v="15"/>
    <n v="25"/>
    <n v="26775"/>
    <n v="25244.639999999999"/>
    <n v="1530.3600000000006"/>
    <s v="YES"/>
    <x v="1"/>
    <x v="2"/>
  </r>
  <r>
    <s v="ORD00487"/>
    <x v="46"/>
    <x v="3"/>
    <x v="5"/>
    <x v="6"/>
    <x v="2"/>
    <x v="6"/>
    <n v="4500"/>
    <n v="13"/>
    <n v="10"/>
    <n v="25"/>
    <n v="52650"/>
    <n v="47787.03"/>
    <n v="4862.9700000000012"/>
    <s v="YES"/>
    <x v="1"/>
    <x v="2"/>
  </r>
  <r>
    <s v="ORD00488"/>
    <x v="145"/>
    <x v="0"/>
    <x v="5"/>
    <x v="15"/>
    <x v="2"/>
    <x v="6"/>
    <n v="2500"/>
    <n v="6"/>
    <n v="5"/>
    <n v="0"/>
    <n v="14250"/>
    <n v="14446.56"/>
    <n v="-196.55999999999949"/>
    <s v="NO"/>
    <x v="0"/>
    <x v="0"/>
  </r>
  <r>
    <s v="ORD00489"/>
    <x v="153"/>
    <x v="1"/>
    <x v="0"/>
    <x v="18"/>
    <x v="5"/>
    <x v="13"/>
    <n v="18000"/>
    <n v="8"/>
    <n v="15"/>
    <n v="20"/>
    <n v="122400"/>
    <n v="107784.41"/>
    <n v="14615.589999999997"/>
    <s v="YES"/>
    <x v="1"/>
    <x v="2"/>
  </r>
  <r>
    <s v="ORD00490"/>
    <x v="0"/>
    <x v="0"/>
    <x v="5"/>
    <x v="6"/>
    <x v="2"/>
    <x v="6"/>
    <n v="4500"/>
    <n v="1"/>
    <n v="10"/>
    <n v="20"/>
    <n v="4050"/>
    <n v="3629.14"/>
    <n v="420.86000000000013"/>
    <s v="YES"/>
    <x v="1"/>
    <x v="2"/>
  </r>
  <r>
    <s v="ORD00491"/>
    <x v="54"/>
    <x v="3"/>
    <x v="3"/>
    <x v="7"/>
    <x v="2"/>
    <x v="7"/>
    <n v="18000"/>
    <n v="13"/>
    <n v="10"/>
    <n v="15"/>
    <n v="210600"/>
    <n v="180553.93"/>
    <n v="30046.070000000007"/>
    <s v="YES"/>
    <x v="1"/>
    <x v="2"/>
  </r>
  <r>
    <s v="ORD00492"/>
    <x v="15"/>
    <x v="2"/>
    <x v="2"/>
    <x v="9"/>
    <x v="3"/>
    <x v="8"/>
    <n v="4000"/>
    <n v="7"/>
    <n v="5"/>
    <n v="5"/>
    <n v="26600"/>
    <n v="26584.61"/>
    <n v="15.389999999999418"/>
    <s v="NO"/>
    <x v="1"/>
    <x v="1"/>
  </r>
  <r>
    <s v="ORD00493"/>
    <x v="73"/>
    <x v="0"/>
    <x v="3"/>
    <x v="13"/>
    <x v="0"/>
    <x v="12"/>
    <n v="8000"/>
    <n v="3"/>
    <n v="5"/>
    <n v="10"/>
    <n v="22800"/>
    <n v="19949.32"/>
    <n v="2850.6800000000003"/>
    <s v="YES"/>
    <x v="1"/>
    <x v="2"/>
  </r>
  <r>
    <s v="ORD00494"/>
    <x v="165"/>
    <x v="1"/>
    <x v="1"/>
    <x v="0"/>
    <x v="0"/>
    <x v="0"/>
    <n v="6000"/>
    <n v="2"/>
    <n v="10"/>
    <n v="25"/>
    <n v="10800"/>
    <n v="11328.22"/>
    <n v="-528.21999999999935"/>
    <s v="YES"/>
    <x v="0"/>
    <x v="2"/>
  </r>
  <r>
    <s v="ORD00495"/>
    <x v="49"/>
    <x v="1"/>
    <x v="3"/>
    <x v="13"/>
    <x v="0"/>
    <x v="12"/>
    <n v="8000"/>
    <n v="5"/>
    <n v="15"/>
    <n v="25"/>
    <n v="34000"/>
    <n v="29657.35"/>
    <n v="4342.6500000000015"/>
    <s v="YES"/>
    <x v="1"/>
    <x v="2"/>
  </r>
  <r>
    <s v="ORD00496"/>
    <x v="150"/>
    <x v="2"/>
    <x v="4"/>
    <x v="1"/>
    <x v="1"/>
    <x v="1"/>
    <n v="1800"/>
    <n v="9"/>
    <n v="15"/>
    <n v="20"/>
    <n v="13770"/>
    <n v="12620.17"/>
    <n v="1149.83"/>
    <s v="YES"/>
    <x v="1"/>
    <x v="2"/>
  </r>
  <r>
    <s v="ORD00497"/>
    <x v="136"/>
    <x v="2"/>
    <x v="2"/>
    <x v="18"/>
    <x v="5"/>
    <x v="13"/>
    <n v="18000"/>
    <n v="10"/>
    <n v="5"/>
    <n v="10"/>
    <n v="171000"/>
    <n v="171573.99"/>
    <n v="-573.98999999999069"/>
    <s v="YES"/>
    <x v="0"/>
    <x v="2"/>
  </r>
  <r>
    <s v="ORD00498"/>
    <x v="50"/>
    <x v="1"/>
    <x v="0"/>
    <x v="14"/>
    <x v="1"/>
    <x v="2"/>
    <n v="6500"/>
    <n v="6"/>
    <n v="5"/>
    <n v="20"/>
    <n v="37050"/>
    <n v="33849.03"/>
    <n v="3200.9700000000012"/>
    <s v="YES"/>
    <x v="1"/>
    <x v="2"/>
  </r>
  <r>
    <s v="ORD00499"/>
    <x v="107"/>
    <x v="0"/>
    <x v="4"/>
    <x v="12"/>
    <x v="4"/>
    <x v="11"/>
    <n v="8000"/>
    <n v="12"/>
    <n v="10"/>
    <n v="20"/>
    <n v="86400"/>
    <n v="74289.86"/>
    <n v="12110.14"/>
    <s v="YES"/>
    <x v="1"/>
    <x v="2"/>
  </r>
  <r>
    <s v="ORD00500"/>
    <x v="123"/>
    <x v="1"/>
    <x v="2"/>
    <x v="8"/>
    <x v="1"/>
    <x v="3"/>
    <n v="2800"/>
    <n v="13"/>
    <n v="5"/>
    <n v="5"/>
    <n v="34580"/>
    <n v="31100.46"/>
    <n v="3479.5400000000009"/>
    <s v="NO"/>
    <x v="1"/>
    <x v="1"/>
  </r>
  <r>
    <s v="ORD00501"/>
    <x v="131"/>
    <x v="0"/>
    <x v="0"/>
    <x v="4"/>
    <x v="2"/>
    <x v="4"/>
    <n v="15000"/>
    <n v="7"/>
    <n v="5"/>
    <n v="10"/>
    <n v="99750"/>
    <n v="96056.29"/>
    <n v="3693.7100000000064"/>
    <s v="YES"/>
    <x v="1"/>
    <x v="2"/>
  </r>
  <r>
    <s v="ORD00502"/>
    <x v="86"/>
    <x v="1"/>
    <x v="1"/>
    <x v="21"/>
    <x v="6"/>
    <x v="14"/>
    <n v="3500"/>
    <n v="8"/>
    <n v="5"/>
    <n v="10"/>
    <n v="26600"/>
    <n v="26603.64"/>
    <n v="-3.6399999999994179"/>
    <s v="YES"/>
    <x v="0"/>
    <x v="2"/>
  </r>
  <r>
    <s v="ORD00503"/>
    <x v="29"/>
    <x v="3"/>
    <x v="5"/>
    <x v="21"/>
    <x v="6"/>
    <x v="14"/>
    <n v="3500"/>
    <n v="5"/>
    <n v="10"/>
    <n v="25"/>
    <n v="15750"/>
    <n v="15413.65"/>
    <n v="336.35000000000036"/>
    <s v="YES"/>
    <x v="1"/>
    <x v="2"/>
  </r>
  <r>
    <s v="ORD00504"/>
    <x v="1"/>
    <x v="0"/>
    <x v="3"/>
    <x v="5"/>
    <x v="0"/>
    <x v="5"/>
    <n v="4500"/>
    <n v="4"/>
    <n v="15"/>
    <n v="10"/>
    <n v="15300"/>
    <n v="15808.07"/>
    <n v="-508.06999999999971"/>
    <s v="NO"/>
    <x v="0"/>
    <x v="0"/>
  </r>
  <r>
    <s v="ORD00505"/>
    <x v="114"/>
    <x v="2"/>
    <x v="4"/>
    <x v="9"/>
    <x v="3"/>
    <x v="8"/>
    <n v="4000"/>
    <n v="1"/>
    <n v="10"/>
    <n v="0"/>
    <n v="3600"/>
    <n v="3543.02"/>
    <n v="56.980000000000018"/>
    <s v="NO"/>
    <x v="1"/>
    <x v="1"/>
  </r>
  <r>
    <s v="ORD00506"/>
    <x v="28"/>
    <x v="1"/>
    <x v="1"/>
    <x v="2"/>
    <x v="1"/>
    <x v="2"/>
    <n v="1200"/>
    <n v="15"/>
    <n v="15"/>
    <n v="10"/>
    <n v="15300"/>
    <n v="15387.29"/>
    <n v="-87.290000000000873"/>
    <s v="NO"/>
    <x v="0"/>
    <x v="0"/>
  </r>
  <r>
    <s v="ORD00507"/>
    <x v="93"/>
    <x v="3"/>
    <x v="1"/>
    <x v="18"/>
    <x v="5"/>
    <x v="13"/>
    <n v="18000"/>
    <n v="4"/>
    <n v="10"/>
    <n v="10"/>
    <n v="64800"/>
    <n v="64147.57"/>
    <n v="652.43000000000029"/>
    <s v="NO"/>
    <x v="1"/>
    <x v="1"/>
  </r>
  <r>
    <s v="ORD00508"/>
    <x v="138"/>
    <x v="0"/>
    <x v="4"/>
    <x v="20"/>
    <x v="6"/>
    <x v="14"/>
    <n v="12000"/>
    <n v="13"/>
    <n v="15"/>
    <n v="10"/>
    <n v="132600"/>
    <n v="135615.07"/>
    <n v="-3015.070000000007"/>
    <s v="NO"/>
    <x v="0"/>
    <x v="0"/>
  </r>
  <r>
    <s v="ORD00509"/>
    <x v="41"/>
    <x v="1"/>
    <x v="5"/>
    <x v="15"/>
    <x v="2"/>
    <x v="6"/>
    <n v="2500"/>
    <n v="12"/>
    <n v="15"/>
    <n v="20"/>
    <n v="25500"/>
    <n v="22541.96"/>
    <n v="2958.0400000000009"/>
    <s v="YES"/>
    <x v="1"/>
    <x v="2"/>
  </r>
  <r>
    <s v="ORD00510"/>
    <x v="151"/>
    <x v="1"/>
    <x v="3"/>
    <x v="5"/>
    <x v="0"/>
    <x v="5"/>
    <n v="4500"/>
    <n v="6"/>
    <n v="5"/>
    <n v="15"/>
    <n v="25650"/>
    <n v="22176.82"/>
    <n v="3473.1800000000003"/>
    <s v="YES"/>
    <x v="1"/>
    <x v="2"/>
  </r>
  <r>
    <s v="ORD00511"/>
    <x v="131"/>
    <x v="0"/>
    <x v="0"/>
    <x v="12"/>
    <x v="4"/>
    <x v="11"/>
    <n v="8000"/>
    <n v="7"/>
    <n v="10"/>
    <n v="10"/>
    <n v="50400"/>
    <n v="44248.81"/>
    <n v="6151.1900000000023"/>
    <s v="NO"/>
    <x v="1"/>
    <x v="1"/>
  </r>
  <r>
    <s v="ORD00512"/>
    <x v="106"/>
    <x v="2"/>
    <x v="2"/>
    <x v="2"/>
    <x v="1"/>
    <x v="2"/>
    <n v="1200"/>
    <n v="9"/>
    <n v="15"/>
    <n v="0"/>
    <n v="9180"/>
    <n v="9517.99"/>
    <n v="-337.98999999999978"/>
    <s v="NO"/>
    <x v="0"/>
    <x v="0"/>
  </r>
  <r>
    <s v="ORD00513"/>
    <x v="107"/>
    <x v="1"/>
    <x v="2"/>
    <x v="23"/>
    <x v="0"/>
    <x v="12"/>
    <n v="7000"/>
    <n v="4"/>
    <n v="10"/>
    <n v="25"/>
    <n v="25200"/>
    <n v="22775.200000000001"/>
    <n v="2424.7999999999993"/>
    <s v="YES"/>
    <x v="1"/>
    <x v="2"/>
  </r>
  <r>
    <s v="ORD00514"/>
    <x v="32"/>
    <x v="2"/>
    <x v="2"/>
    <x v="10"/>
    <x v="1"/>
    <x v="9"/>
    <n v="1200"/>
    <n v="4"/>
    <n v="5"/>
    <n v="20"/>
    <n v="4560"/>
    <n v="3949.21"/>
    <n v="610.79"/>
    <s v="YES"/>
    <x v="1"/>
    <x v="2"/>
  </r>
  <r>
    <s v="ORD00515"/>
    <x v="37"/>
    <x v="1"/>
    <x v="2"/>
    <x v="19"/>
    <x v="0"/>
    <x v="12"/>
    <n v="3500"/>
    <n v="12"/>
    <n v="10"/>
    <n v="10"/>
    <n v="37800"/>
    <n v="38884.22"/>
    <n v="-1084.2200000000012"/>
    <s v="NO"/>
    <x v="0"/>
    <x v="0"/>
  </r>
  <r>
    <s v="ORD00516"/>
    <x v="27"/>
    <x v="3"/>
    <x v="3"/>
    <x v="13"/>
    <x v="0"/>
    <x v="12"/>
    <n v="8000"/>
    <n v="11"/>
    <n v="5"/>
    <n v="5"/>
    <n v="83600"/>
    <n v="75493.56"/>
    <n v="8106.4400000000023"/>
    <s v="NO"/>
    <x v="1"/>
    <x v="1"/>
  </r>
  <r>
    <s v="ORD00517"/>
    <x v="95"/>
    <x v="2"/>
    <x v="0"/>
    <x v="19"/>
    <x v="0"/>
    <x v="12"/>
    <n v="3500"/>
    <n v="14"/>
    <n v="15"/>
    <n v="20"/>
    <n v="41650"/>
    <n v="39752.269999999997"/>
    <n v="1897.7300000000032"/>
    <s v="YES"/>
    <x v="1"/>
    <x v="2"/>
  </r>
  <r>
    <s v="ORD00518"/>
    <x v="130"/>
    <x v="1"/>
    <x v="3"/>
    <x v="18"/>
    <x v="5"/>
    <x v="13"/>
    <n v="18000"/>
    <n v="7"/>
    <n v="10"/>
    <n v="20"/>
    <n v="113400"/>
    <n v="106221.69"/>
    <n v="7178.3099999999977"/>
    <s v="YES"/>
    <x v="1"/>
    <x v="2"/>
  </r>
  <r>
    <s v="ORD00519"/>
    <x v="28"/>
    <x v="1"/>
    <x v="4"/>
    <x v="1"/>
    <x v="1"/>
    <x v="1"/>
    <n v="1800"/>
    <n v="5"/>
    <n v="10"/>
    <n v="15"/>
    <n v="8100"/>
    <n v="7450.12"/>
    <n v="649.88000000000011"/>
    <s v="YES"/>
    <x v="1"/>
    <x v="2"/>
  </r>
  <r>
    <s v="ORD00520"/>
    <x v="152"/>
    <x v="0"/>
    <x v="0"/>
    <x v="18"/>
    <x v="5"/>
    <x v="13"/>
    <n v="18000"/>
    <n v="10"/>
    <n v="5"/>
    <n v="15"/>
    <n v="171000"/>
    <n v="159694.67000000001"/>
    <n v="11305.329999999987"/>
    <s v="YES"/>
    <x v="1"/>
    <x v="2"/>
  </r>
  <r>
    <s v="ORD00521"/>
    <x v="122"/>
    <x v="3"/>
    <x v="3"/>
    <x v="8"/>
    <x v="1"/>
    <x v="3"/>
    <n v="2800"/>
    <n v="11"/>
    <n v="5"/>
    <n v="5"/>
    <n v="29260"/>
    <n v="30412.86"/>
    <n v="-1152.8600000000006"/>
    <s v="NO"/>
    <x v="0"/>
    <x v="0"/>
  </r>
  <r>
    <s v="ORD00522"/>
    <x v="11"/>
    <x v="1"/>
    <x v="1"/>
    <x v="8"/>
    <x v="1"/>
    <x v="3"/>
    <n v="2800"/>
    <n v="1"/>
    <n v="5"/>
    <n v="15"/>
    <n v="2660"/>
    <n v="2488.4"/>
    <n v="171.59999999999991"/>
    <s v="YES"/>
    <x v="1"/>
    <x v="2"/>
  </r>
  <r>
    <s v="ORD00523"/>
    <x v="128"/>
    <x v="2"/>
    <x v="0"/>
    <x v="9"/>
    <x v="3"/>
    <x v="8"/>
    <n v="4000"/>
    <n v="6"/>
    <n v="10"/>
    <n v="25"/>
    <n v="21600"/>
    <n v="19161.36"/>
    <n v="2438.6399999999994"/>
    <s v="YES"/>
    <x v="1"/>
    <x v="2"/>
  </r>
  <r>
    <s v="ORD00524"/>
    <x v="4"/>
    <x v="2"/>
    <x v="1"/>
    <x v="7"/>
    <x v="2"/>
    <x v="7"/>
    <n v="18000"/>
    <n v="3"/>
    <n v="15"/>
    <n v="25"/>
    <n v="45900"/>
    <n v="43144.99"/>
    <n v="2755.010000000002"/>
    <s v="YES"/>
    <x v="1"/>
    <x v="2"/>
  </r>
  <r>
    <s v="ORD00525"/>
    <x v="36"/>
    <x v="0"/>
    <x v="5"/>
    <x v="3"/>
    <x v="1"/>
    <x v="3"/>
    <n v="500"/>
    <n v="2"/>
    <n v="10"/>
    <n v="10"/>
    <n v="900"/>
    <n v="829.06"/>
    <n v="70.940000000000055"/>
    <s v="NO"/>
    <x v="1"/>
    <x v="1"/>
  </r>
  <r>
    <s v="ORD00526"/>
    <x v="166"/>
    <x v="1"/>
    <x v="5"/>
    <x v="1"/>
    <x v="1"/>
    <x v="1"/>
    <n v="1800"/>
    <n v="2"/>
    <n v="5"/>
    <n v="25"/>
    <n v="3420"/>
    <n v="2951.9"/>
    <n v="468.09999999999991"/>
    <s v="YES"/>
    <x v="1"/>
    <x v="2"/>
  </r>
  <r>
    <s v="ORD00527"/>
    <x v="34"/>
    <x v="0"/>
    <x v="4"/>
    <x v="6"/>
    <x v="2"/>
    <x v="6"/>
    <n v="4500"/>
    <n v="11"/>
    <n v="10"/>
    <n v="15"/>
    <n v="44550"/>
    <n v="39731.07"/>
    <n v="4818.93"/>
    <s v="YES"/>
    <x v="1"/>
    <x v="2"/>
  </r>
  <r>
    <s v="ORD00528"/>
    <x v="144"/>
    <x v="0"/>
    <x v="5"/>
    <x v="0"/>
    <x v="0"/>
    <x v="0"/>
    <n v="6000"/>
    <n v="5"/>
    <n v="15"/>
    <n v="25"/>
    <n v="25500"/>
    <n v="25876.400000000001"/>
    <n v="-376.40000000000146"/>
    <s v="YES"/>
    <x v="0"/>
    <x v="2"/>
  </r>
  <r>
    <s v="ORD00529"/>
    <x v="61"/>
    <x v="1"/>
    <x v="2"/>
    <x v="20"/>
    <x v="6"/>
    <x v="14"/>
    <n v="12000"/>
    <n v="14"/>
    <n v="15"/>
    <n v="20"/>
    <n v="142800"/>
    <n v="122215.45"/>
    <n v="20584.550000000003"/>
    <s v="YES"/>
    <x v="1"/>
    <x v="2"/>
  </r>
  <r>
    <s v="ORD00530"/>
    <x v="114"/>
    <x v="0"/>
    <x v="3"/>
    <x v="7"/>
    <x v="2"/>
    <x v="7"/>
    <n v="18000"/>
    <n v="8"/>
    <n v="15"/>
    <n v="10"/>
    <n v="122400"/>
    <n v="120949.52"/>
    <n v="1450.4799999999959"/>
    <s v="NO"/>
    <x v="1"/>
    <x v="1"/>
  </r>
  <r>
    <s v="ORD00531"/>
    <x v="70"/>
    <x v="1"/>
    <x v="1"/>
    <x v="7"/>
    <x v="2"/>
    <x v="7"/>
    <n v="18000"/>
    <n v="2"/>
    <n v="15"/>
    <n v="5"/>
    <n v="30600"/>
    <n v="30524.57"/>
    <n v="75.430000000000291"/>
    <s v="NO"/>
    <x v="1"/>
    <x v="1"/>
  </r>
  <r>
    <s v="ORD00532"/>
    <x v="35"/>
    <x v="2"/>
    <x v="1"/>
    <x v="4"/>
    <x v="2"/>
    <x v="4"/>
    <n v="15000"/>
    <n v="12"/>
    <n v="15"/>
    <n v="20"/>
    <n v="153000"/>
    <n v="140931"/>
    <n v="12069"/>
    <s v="YES"/>
    <x v="1"/>
    <x v="2"/>
  </r>
  <r>
    <s v="ORD00533"/>
    <x v="51"/>
    <x v="2"/>
    <x v="3"/>
    <x v="18"/>
    <x v="5"/>
    <x v="13"/>
    <n v="18000"/>
    <n v="3"/>
    <n v="15"/>
    <n v="5"/>
    <n v="45900"/>
    <n v="47540.800000000003"/>
    <n v="-1640.8000000000029"/>
    <s v="NO"/>
    <x v="0"/>
    <x v="0"/>
  </r>
  <r>
    <s v="ORD00534"/>
    <x v="104"/>
    <x v="3"/>
    <x v="0"/>
    <x v="21"/>
    <x v="6"/>
    <x v="14"/>
    <n v="3500"/>
    <n v="14"/>
    <n v="10"/>
    <n v="10"/>
    <n v="44100"/>
    <n v="43092"/>
    <n v="1008"/>
    <s v="NO"/>
    <x v="1"/>
    <x v="1"/>
  </r>
  <r>
    <s v="ORD00535"/>
    <x v="100"/>
    <x v="1"/>
    <x v="0"/>
    <x v="12"/>
    <x v="4"/>
    <x v="11"/>
    <n v="8000"/>
    <n v="10"/>
    <n v="15"/>
    <n v="25"/>
    <n v="68000"/>
    <n v="62052.17"/>
    <n v="5947.8300000000017"/>
    <s v="YES"/>
    <x v="1"/>
    <x v="2"/>
  </r>
  <r>
    <s v="ORD00536"/>
    <x v="25"/>
    <x v="2"/>
    <x v="0"/>
    <x v="15"/>
    <x v="2"/>
    <x v="6"/>
    <n v="2500"/>
    <n v="5"/>
    <n v="10"/>
    <n v="10"/>
    <n v="11250"/>
    <n v="10036.93"/>
    <n v="1213.0699999999997"/>
    <s v="NO"/>
    <x v="1"/>
    <x v="1"/>
  </r>
  <r>
    <s v="ORD00537"/>
    <x v="167"/>
    <x v="1"/>
    <x v="4"/>
    <x v="21"/>
    <x v="6"/>
    <x v="14"/>
    <n v="3500"/>
    <n v="8"/>
    <n v="10"/>
    <n v="0"/>
    <n v="25200"/>
    <n v="22831.4"/>
    <n v="2368.5999999999985"/>
    <s v="NO"/>
    <x v="1"/>
    <x v="1"/>
  </r>
  <r>
    <s v="ORD00538"/>
    <x v="36"/>
    <x v="2"/>
    <x v="2"/>
    <x v="22"/>
    <x v="0"/>
    <x v="10"/>
    <n v="35000"/>
    <n v="6"/>
    <n v="5"/>
    <n v="10"/>
    <n v="199500"/>
    <n v="171610.19"/>
    <n v="27889.809999999998"/>
    <s v="YES"/>
    <x v="1"/>
    <x v="2"/>
  </r>
  <r>
    <s v="ORD00539"/>
    <x v="88"/>
    <x v="1"/>
    <x v="3"/>
    <x v="1"/>
    <x v="1"/>
    <x v="1"/>
    <n v="1800"/>
    <n v="14"/>
    <n v="10"/>
    <n v="5"/>
    <n v="22680"/>
    <n v="20697.400000000001"/>
    <n v="1982.5999999999985"/>
    <s v="NO"/>
    <x v="1"/>
    <x v="1"/>
  </r>
  <r>
    <s v="ORD00540"/>
    <x v="69"/>
    <x v="0"/>
    <x v="3"/>
    <x v="3"/>
    <x v="1"/>
    <x v="3"/>
    <n v="500"/>
    <n v="12"/>
    <n v="5"/>
    <n v="20"/>
    <n v="5700"/>
    <n v="4856.66"/>
    <n v="843.34000000000015"/>
    <s v="YES"/>
    <x v="1"/>
    <x v="2"/>
  </r>
  <r>
    <s v="ORD00541"/>
    <x v="168"/>
    <x v="0"/>
    <x v="3"/>
    <x v="3"/>
    <x v="1"/>
    <x v="3"/>
    <n v="500"/>
    <n v="8"/>
    <n v="15"/>
    <n v="15"/>
    <n v="3400"/>
    <n v="3095.94"/>
    <n v="304.05999999999995"/>
    <s v="NO"/>
    <x v="1"/>
    <x v="1"/>
  </r>
  <r>
    <s v="ORD00542"/>
    <x v="33"/>
    <x v="1"/>
    <x v="3"/>
    <x v="22"/>
    <x v="0"/>
    <x v="10"/>
    <n v="35000"/>
    <n v="4"/>
    <n v="15"/>
    <n v="25"/>
    <n v="119000"/>
    <n v="114884.84"/>
    <n v="4115.1600000000035"/>
    <s v="YES"/>
    <x v="1"/>
    <x v="2"/>
  </r>
  <r>
    <s v="ORD00543"/>
    <x v="152"/>
    <x v="2"/>
    <x v="0"/>
    <x v="4"/>
    <x v="2"/>
    <x v="4"/>
    <n v="15000"/>
    <n v="7"/>
    <n v="15"/>
    <n v="20"/>
    <n v="89250"/>
    <n v="84955.04"/>
    <n v="4294.9600000000064"/>
    <s v="YES"/>
    <x v="1"/>
    <x v="2"/>
  </r>
  <r>
    <s v="ORD00544"/>
    <x v="160"/>
    <x v="3"/>
    <x v="0"/>
    <x v="8"/>
    <x v="1"/>
    <x v="3"/>
    <n v="2800"/>
    <n v="13"/>
    <n v="5"/>
    <n v="5"/>
    <n v="34580"/>
    <n v="35100.92"/>
    <n v="-520.91999999999825"/>
    <s v="NO"/>
    <x v="0"/>
    <x v="0"/>
  </r>
  <r>
    <s v="ORD00545"/>
    <x v="91"/>
    <x v="2"/>
    <x v="2"/>
    <x v="0"/>
    <x v="0"/>
    <x v="0"/>
    <n v="6000"/>
    <n v="5"/>
    <n v="10"/>
    <n v="25"/>
    <n v="27000"/>
    <n v="23196.29"/>
    <n v="3803.7099999999991"/>
    <s v="YES"/>
    <x v="1"/>
    <x v="2"/>
  </r>
  <r>
    <s v="ORD00546"/>
    <x v="10"/>
    <x v="0"/>
    <x v="0"/>
    <x v="2"/>
    <x v="1"/>
    <x v="2"/>
    <n v="1200"/>
    <n v="13"/>
    <n v="15"/>
    <n v="25"/>
    <n v="13260"/>
    <n v="13196.38"/>
    <n v="63.6200000000008"/>
    <s v="YES"/>
    <x v="1"/>
    <x v="2"/>
  </r>
  <r>
    <s v="ORD00547"/>
    <x v="93"/>
    <x v="2"/>
    <x v="3"/>
    <x v="5"/>
    <x v="0"/>
    <x v="5"/>
    <n v="4500"/>
    <n v="7"/>
    <n v="5"/>
    <n v="15"/>
    <n v="29925"/>
    <n v="30783.88"/>
    <n v="-858.88000000000102"/>
    <s v="YES"/>
    <x v="0"/>
    <x v="2"/>
  </r>
  <r>
    <s v="ORD00548"/>
    <x v="32"/>
    <x v="2"/>
    <x v="1"/>
    <x v="5"/>
    <x v="0"/>
    <x v="5"/>
    <n v="4500"/>
    <n v="3"/>
    <n v="5"/>
    <n v="5"/>
    <n v="12825"/>
    <n v="11257.06"/>
    <n v="1567.9400000000005"/>
    <s v="NO"/>
    <x v="1"/>
    <x v="1"/>
  </r>
  <r>
    <s v="ORD00549"/>
    <x v="39"/>
    <x v="3"/>
    <x v="4"/>
    <x v="12"/>
    <x v="4"/>
    <x v="11"/>
    <n v="8000"/>
    <n v="9"/>
    <n v="5"/>
    <n v="0"/>
    <n v="68400"/>
    <n v="68374.39"/>
    <n v="25.610000000000582"/>
    <s v="NO"/>
    <x v="1"/>
    <x v="1"/>
  </r>
  <r>
    <s v="ORD00550"/>
    <x v="16"/>
    <x v="3"/>
    <x v="0"/>
    <x v="4"/>
    <x v="2"/>
    <x v="4"/>
    <n v="15000"/>
    <n v="12"/>
    <n v="15"/>
    <n v="10"/>
    <n v="153000"/>
    <n v="137431.85999999999"/>
    <n v="15568.140000000014"/>
    <s v="NO"/>
    <x v="1"/>
    <x v="1"/>
  </r>
  <r>
    <s v="ORD00551"/>
    <x v="161"/>
    <x v="0"/>
    <x v="4"/>
    <x v="16"/>
    <x v="1"/>
    <x v="3"/>
    <n v="1500"/>
    <n v="13"/>
    <n v="15"/>
    <n v="10"/>
    <n v="16575"/>
    <n v="14211.15"/>
    <n v="2363.8500000000004"/>
    <s v="NO"/>
    <x v="1"/>
    <x v="1"/>
  </r>
  <r>
    <s v="ORD00552"/>
    <x v="120"/>
    <x v="1"/>
    <x v="1"/>
    <x v="8"/>
    <x v="1"/>
    <x v="3"/>
    <n v="2800"/>
    <n v="1"/>
    <n v="10"/>
    <n v="5"/>
    <n v="2520"/>
    <n v="2202.2399999999998"/>
    <n v="317.76000000000022"/>
    <s v="NO"/>
    <x v="1"/>
    <x v="1"/>
  </r>
  <r>
    <s v="ORD00553"/>
    <x v="169"/>
    <x v="1"/>
    <x v="5"/>
    <x v="5"/>
    <x v="0"/>
    <x v="5"/>
    <n v="4500"/>
    <n v="5"/>
    <n v="15"/>
    <n v="0"/>
    <n v="19125"/>
    <n v="18628.87"/>
    <n v="496.13000000000102"/>
    <s v="NO"/>
    <x v="1"/>
    <x v="1"/>
  </r>
  <r>
    <s v="ORD00554"/>
    <x v="14"/>
    <x v="0"/>
    <x v="1"/>
    <x v="7"/>
    <x v="2"/>
    <x v="7"/>
    <n v="18000"/>
    <n v="13"/>
    <n v="10"/>
    <n v="25"/>
    <n v="210600"/>
    <n v="199782.89"/>
    <n v="10817.109999999986"/>
    <s v="YES"/>
    <x v="1"/>
    <x v="2"/>
  </r>
  <r>
    <s v="ORD00555"/>
    <x v="86"/>
    <x v="1"/>
    <x v="2"/>
    <x v="10"/>
    <x v="1"/>
    <x v="9"/>
    <n v="1200"/>
    <n v="7"/>
    <n v="5"/>
    <n v="0"/>
    <n v="7980"/>
    <n v="7429.74"/>
    <n v="550.26000000000022"/>
    <s v="NO"/>
    <x v="1"/>
    <x v="1"/>
  </r>
  <r>
    <s v="ORD00556"/>
    <x v="9"/>
    <x v="2"/>
    <x v="1"/>
    <x v="4"/>
    <x v="2"/>
    <x v="4"/>
    <n v="15000"/>
    <n v="9"/>
    <n v="5"/>
    <n v="10"/>
    <n v="128250"/>
    <n v="129641.84"/>
    <n v="-1391.8399999999965"/>
    <s v="YES"/>
    <x v="0"/>
    <x v="2"/>
  </r>
  <r>
    <s v="ORD00557"/>
    <x v="9"/>
    <x v="1"/>
    <x v="5"/>
    <x v="22"/>
    <x v="0"/>
    <x v="10"/>
    <n v="35000"/>
    <n v="6"/>
    <n v="10"/>
    <n v="10"/>
    <n v="189000"/>
    <n v="162704.82999999999"/>
    <n v="26295.170000000013"/>
    <s v="NO"/>
    <x v="1"/>
    <x v="1"/>
  </r>
  <r>
    <s v="ORD00558"/>
    <x v="37"/>
    <x v="1"/>
    <x v="5"/>
    <x v="6"/>
    <x v="2"/>
    <x v="6"/>
    <n v="4500"/>
    <n v="15"/>
    <n v="5"/>
    <n v="20"/>
    <n v="64125"/>
    <n v="61307.63"/>
    <n v="2817.3700000000026"/>
    <s v="YES"/>
    <x v="1"/>
    <x v="2"/>
  </r>
  <r>
    <s v="ORD00559"/>
    <x v="79"/>
    <x v="0"/>
    <x v="4"/>
    <x v="0"/>
    <x v="0"/>
    <x v="0"/>
    <n v="6000"/>
    <n v="3"/>
    <n v="15"/>
    <n v="10"/>
    <n v="15300"/>
    <n v="14228.6"/>
    <n v="1071.3999999999996"/>
    <s v="NO"/>
    <x v="1"/>
    <x v="1"/>
  </r>
  <r>
    <s v="ORD00560"/>
    <x v="44"/>
    <x v="1"/>
    <x v="4"/>
    <x v="21"/>
    <x v="6"/>
    <x v="14"/>
    <n v="3500"/>
    <n v="8"/>
    <n v="5"/>
    <n v="15"/>
    <n v="26600"/>
    <n v="26616.400000000001"/>
    <n v="-16.400000000001455"/>
    <s v="YES"/>
    <x v="0"/>
    <x v="2"/>
  </r>
  <r>
    <s v="ORD00561"/>
    <x v="19"/>
    <x v="3"/>
    <x v="4"/>
    <x v="5"/>
    <x v="0"/>
    <x v="5"/>
    <n v="4500"/>
    <n v="6"/>
    <n v="15"/>
    <n v="20"/>
    <n v="22950"/>
    <n v="20773.66"/>
    <n v="2176.34"/>
    <s v="YES"/>
    <x v="1"/>
    <x v="2"/>
  </r>
  <r>
    <s v="ORD00562"/>
    <x v="65"/>
    <x v="1"/>
    <x v="2"/>
    <x v="14"/>
    <x v="1"/>
    <x v="2"/>
    <n v="6500"/>
    <n v="13"/>
    <n v="5"/>
    <n v="5"/>
    <n v="80275"/>
    <n v="78785.649999999994"/>
    <n v="1489.3500000000058"/>
    <s v="NO"/>
    <x v="1"/>
    <x v="1"/>
  </r>
  <r>
    <s v="ORD00563"/>
    <x v="59"/>
    <x v="2"/>
    <x v="5"/>
    <x v="22"/>
    <x v="0"/>
    <x v="10"/>
    <n v="35000"/>
    <n v="4"/>
    <n v="10"/>
    <n v="15"/>
    <n v="126000"/>
    <n v="131861.09"/>
    <n v="-5861.0899999999965"/>
    <s v="YES"/>
    <x v="0"/>
    <x v="2"/>
  </r>
  <r>
    <s v="ORD00564"/>
    <x v="73"/>
    <x v="3"/>
    <x v="5"/>
    <x v="14"/>
    <x v="1"/>
    <x v="2"/>
    <n v="6500"/>
    <n v="4"/>
    <n v="15"/>
    <n v="15"/>
    <n v="22100"/>
    <n v="21669.99"/>
    <n v="430.0099999999984"/>
    <s v="NO"/>
    <x v="1"/>
    <x v="1"/>
  </r>
  <r>
    <s v="ORD00565"/>
    <x v="64"/>
    <x v="3"/>
    <x v="1"/>
    <x v="5"/>
    <x v="0"/>
    <x v="5"/>
    <n v="4500"/>
    <n v="11"/>
    <n v="5"/>
    <n v="20"/>
    <n v="47025"/>
    <n v="46943.29"/>
    <n v="81.709999999999127"/>
    <s v="YES"/>
    <x v="1"/>
    <x v="2"/>
  </r>
  <r>
    <s v="ORD00566"/>
    <x v="98"/>
    <x v="1"/>
    <x v="0"/>
    <x v="23"/>
    <x v="0"/>
    <x v="12"/>
    <n v="7000"/>
    <n v="2"/>
    <n v="15"/>
    <n v="20"/>
    <n v="11900"/>
    <n v="12304.95"/>
    <n v="-404.95000000000073"/>
    <s v="YES"/>
    <x v="0"/>
    <x v="2"/>
  </r>
  <r>
    <s v="ORD00567"/>
    <x v="75"/>
    <x v="2"/>
    <x v="2"/>
    <x v="5"/>
    <x v="0"/>
    <x v="5"/>
    <n v="4500"/>
    <n v="5"/>
    <n v="15"/>
    <n v="10"/>
    <n v="19125"/>
    <n v="17295.05"/>
    <n v="1829.9500000000007"/>
    <s v="NO"/>
    <x v="1"/>
    <x v="1"/>
  </r>
  <r>
    <s v="ORD00568"/>
    <x v="30"/>
    <x v="3"/>
    <x v="0"/>
    <x v="7"/>
    <x v="2"/>
    <x v="7"/>
    <n v="18000"/>
    <n v="3"/>
    <n v="5"/>
    <n v="0"/>
    <n v="51300"/>
    <n v="51962.559999999998"/>
    <n v="-662.55999999999767"/>
    <s v="NO"/>
    <x v="0"/>
    <x v="0"/>
  </r>
  <r>
    <s v="ORD00569"/>
    <x v="70"/>
    <x v="3"/>
    <x v="2"/>
    <x v="14"/>
    <x v="1"/>
    <x v="2"/>
    <n v="6500"/>
    <n v="12"/>
    <n v="10"/>
    <n v="0"/>
    <n v="70200"/>
    <n v="63511.06"/>
    <n v="6688.9400000000023"/>
    <s v="NO"/>
    <x v="1"/>
    <x v="1"/>
  </r>
  <r>
    <s v="ORD00570"/>
    <x v="103"/>
    <x v="3"/>
    <x v="1"/>
    <x v="13"/>
    <x v="0"/>
    <x v="12"/>
    <n v="8000"/>
    <n v="8"/>
    <n v="10"/>
    <n v="25"/>
    <n v="57600"/>
    <n v="51055.96"/>
    <n v="6544.0400000000009"/>
    <s v="YES"/>
    <x v="1"/>
    <x v="2"/>
  </r>
  <r>
    <s v="ORD00571"/>
    <x v="98"/>
    <x v="1"/>
    <x v="2"/>
    <x v="6"/>
    <x v="2"/>
    <x v="6"/>
    <n v="4500"/>
    <n v="9"/>
    <n v="5"/>
    <n v="20"/>
    <n v="38475"/>
    <n v="40200.199999999997"/>
    <n v="-1725.1999999999971"/>
    <s v="YES"/>
    <x v="0"/>
    <x v="2"/>
  </r>
  <r>
    <s v="ORD00572"/>
    <x v="18"/>
    <x v="2"/>
    <x v="4"/>
    <x v="16"/>
    <x v="1"/>
    <x v="3"/>
    <n v="1500"/>
    <n v="5"/>
    <n v="15"/>
    <n v="0"/>
    <n v="6375"/>
    <n v="6326.5"/>
    <n v="48.5"/>
    <s v="NO"/>
    <x v="1"/>
    <x v="1"/>
  </r>
  <r>
    <s v="ORD00573"/>
    <x v="152"/>
    <x v="2"/>
    <x v="2"/>
    <x v="4"/>
    <x v="2"/>
    <x v="4"/>
    <n v="15000"/>
    <n v="2"/>
    <n v="5"/>
    <n v="5"/>
    <n v="28500"/>
    <n v="26287.4"/>
    <n v="2212.5999999999985"/>
    <s v="NO"/>
    <x v="1"/>
    <x v="1"/>
  </r>
  <r>
    <s v="ORD00574"/>
    <x v="16"/>
    <x v="1"/>
    <x v="5"/>
    <x v="4"/>
    <x v="2"/>
    <x v="4"/>
    <n v="15000"/>
    <n v="1"/>
    <n v="10"/>
    <n v="10"/>
    <n v="13500"/>
    <n v="11758.91"/>
    <n v="1741.0900000000001"/>
    <s v="NO"/>
    <x v="1"/>
    <x v="1"/>
  </r>
  <r>
    <s v="ORD00575"/>
    <x v="82"/>
    <x v="3"/>
    <x v="5"/>
    <x v="20"/>
    <x v="6"/>
    <x v="14"/>
    <n v="12000"/>
    <n v="4"/>
    <n v="5"/>
    <n v="15"/>
    <n v="45600"/>
    <n v="46200.87"/>
    <n v="-600.87000000000262"/>
    <s v="YES"/>
    <x v="0"/>
    <x v="2"/>
  </r>
  <r>
    <s v="ORD00576"/>
    <x v="149"/>
    <x v="0"/>
    <x v="1"/>
    <x v="11"/>
    <x v="0"/>
    <x v="10"/>
    <n v="60000"/>
    <n v="11"/>
    <n v="10"/>
    <n v="25"/>
    <n v="594000"/>
    <n v="599334.02"/>
    <n v="-5334.0200000000186"/>
    <s v="YES"/>
    <x v="0"/>
    <x v="2"/>
  </r>
  <r>
    <s v="ORD00577"/>
    <x v="27"/>
    <x v="0"/>
    <x v="1"/>
    <x v="8"/>
    <x v="1"/>
    <x v="3"/>
    <n v="2800"/>
    <n v="7"/>
    <n v="5"/>
    <n v="0"/>
    <n v="18620"/>
    <n v="16960.91"/>
    <n v="1659.0900000000001"/>
    <s v="NO"/>
    <x v="1"/>
    <x v="1"/>
  </r>
  <r>
    <s v="ORD00578"/>
    <x v="163"/>
    <x v="0"/>
    <x v="1"/>
    <x v="2"/>
    <x v="1"/>
    <x v="2"/>
    <n v="1200"/>
    <n v="11"/>
    <n v="15"/>
    <n v="10"/>
    <n v="11220"/>
    <n v="10159.39"/>
    <n v="1060.6100000000006"/>
    <s v="NO"/>
    <x v="1"/>
    <x v="1"/>
  </r>
  <r>
    <s v="ORD00579"/>
    <x v="109"/>
    <x v="1"/>
    <x v="3"/>
    <x v="11"/>
    <x v="0"/>
    <x v="10"/>
    <n v="60000"/>
    <n v="14"/>
    <n v="10"/>
    <n v="20"/>
    <n v="756000"/>
    <n v="748515.69"/>
    <n v="7484.3100000000559"/>
    <s v="YES"/>
    <x v="1"/>
    <x v="2"/>
  </r>
  <r>
    <s v="ORD00580"/>
    <x v="35"/>
    <x v="2"/>
    <x v="4"/>
    <x v="6"/>
    <x v="2"/>
    <x v="6"/>
    <n v="4500"/>
    <n v="7"/>
    <n v="15"/>
    <n v="0"/>
    <n v="26775"/>
    <n v="27428.17"/>
    <n v="-653.16999999999825"/>
    <s v="NO"/>
    <x v="0"/>
    <x v="0"/>
  </r>
  <r>
    <s v="ORD00581"/>
    <x v="22"/>
    <x v="3"/>
    <x v="4"/>
    <x v="22"/>
    <x v="0"/>
    <x v="10"/>
    <n v="35000"/>
    <n v="1"/>
    <n v="5"/>
    <n v="0"/>
    <n v="33250"/>
    <n v="32218.5"/>
    <n v="1031.5"/>
    <s v="NO"/>
    <x v="1"/>
    <x v="1"/>
  </r>
  <r>
    <s v="ORD00582"/>
    <x v="94"/>
    <x v="2"/>
    <x v="3"/>
    <x v="8"/>
    <x v="1"/>
    <x v="3"/>
    <n v="2800"/>
    <n v="3"/>
    <n v="10"/>
    <n v="15"/>
    <n v="7560"/>
    <n v="7440.91"/>
    <n v="119.09000000000015"/>
    <s v="YES"/>
    <x v="1"/>
    <x v="2"/>
  </r>
  <r>
    <s v="ORD00583"/>
    <x v="121"/>
    <x v="3"/>
    <x v="2"/>
    <x v="6"/>
    <x v="2"/>
    <x v="6"/>
    <n v="4500"/>
    <n v="14"/>
    <n v="10"/>
    <n v="10"/>
    <n v="56700"/>
    <n v="51324.49"/>
    <n v="5375.510000000002"/>
    <s v="NO"/>
    <x v="1"/>
    <x v="1"/>
  </r>
  <r>
    <s v="ORD00584"/>
    <x v="155"/>
    <x v="3"/>
    <x v="1"/>
    <x v="11"/>
    <x v="0"/>
    <x v="10"/>
    <n v="60000"/>
    <n v="12"/>
    <n v="10"/>
    <n v="15"/>
    <n v="648000"/>
    <n v="558752.92000000004"/>
    <n v="89247.079999999958"/>
    <s v="YES"/>
    <x v="1"/>
    <x v="2"/>
  </r>
  <r>
    <s v="ORD00585"/>
    <x v="115"/>
    <x v="1"/>
    <x v="2"/>
    <x v="18"/>
    <x v="5"/>
    <x v="13"/>
    <n v="18000"/>
    <n v="11"/>
    <n v="10"/>
    <n v="5"/>
    <n v="178200"/>
    <n v="186464.3"/>
    <n v="-8264.2999999999884"/>
    <s v="NO"/>
    <x v="0"/>
    <x v="0"/>
  </r>
  <r>
    <s v="ORD00586"/>
    <x v="149"/>
    <x v="2"/>
    <x v="2"/>
    <x v="14"/>
    <x v="1"/>
    <x v="2"/>
    <n v="6500"/>
    <n v="11"/>
    <n v="15"/>
    <n v="0"/>
    <n v="60775"/>
    <n v="57219.62"/>
    <n v="3555.3799999999974"/>
    <s v="NO"/>
    <x v="1"/>
    <x v="1"/>
  </r>
  <r>
    <s v="ORD00587"/>
    <x v="4"/>
    <x v="3"/>
    <x v="2"/>
    <x v="15"/>
    <x v="2"/>
    <x v="6"/>
    <n v="2500"/>
    <n v="13"/>
    <n v="10"/>
    <n v="15"/>
    <n v="29250"/>
    <n v="29088.54"/>
    <n v="161.45999999999913"/>
    <s v="YES"/>
    <x v="1"/>
    <x v="2"/>
  </r>
  <r>
    <s v="ORD00588"/>
    <x v="140"/>
    <x v="2"/>
    <x v="5"/>
    <x v="19"/>
    <x v="0"/>
    <x v="12"/>
    <n v="3500"/>
    <n v="3"/>
    <n v="15"/>
    <n v="5"/>
    <n v="8925"/>
    <n v="9327.09"/>
    <n v="-402.09000000000015"/>
    <s v="NO"/>
    <x v="0"/>
    <x v="0"/>
  </r>
  <r>
    <s v="ORD00589"/>
    <x v="164"/>
    <x v="3"/>
    <x v="1"/>
    <x v="20"/>
    <x v="6"/>
    <x v="14"/>
    <n v="12000"/>
    <n v="11"/>
    <n v="5"/>
    <n v="25"/>
    <n v="125400"/>
    <n v="113639.89"/>
    <n v="11760.11"/>
    <s v="YES"/>
    <x v="1"/>
    <x v="2"/>
  </r>
  <r>
    <s v="ORD00590"/>
    <x v="11"/>
    <x v="3"/>
    <x v="5"/>
    <x v="14"/>
    <x v="1"/>
    <x v="2"/>
    <n v="6500"/>
    <n v="7"/>
    <n v="5"/>
    <n v="0"/>
    <n v="43225"/>
    <n v="38242.51"/>
    <n v="4982.489999999998"/>
    <s v="NO"/>
    <x v="1"/>
    <x v="1"/>
  </r>
  <r>
    <s v="ORD00591"/>
    <x v="19"/>
    <x v="1"/>
    <x v="3"/>
    <x v="14"/>
    <x v="1"/>
    <x v="2"/>
    <n v="6500"/>
    <n v="3"/>
    <n v="10"/>
    <n v="15"/>
    <n v="17550"/>
    <n v="17700.77"/>
    <n v="-150.77000000000044"/>
    <s v="YES"/>
    <x v="0"/>
    <x v="2"/>
  </r>
  <r>
    <s v="ORD00592"/>
    <x v="170"/>
    <x v="3"/>
    <x v="4"/>
    <x v="3"/>
    <x v="1"/>
    <x v="3"/>
    <n v="500"/>
    <n v="11"/>
    <n v="15"/>
    <n v="5"/>
    <n v="4675"/>
    <n v="4878.3"/>
    <n v="-203.30000000000018"/>
    <s v="NO"/>
    <x v="0"/>
    <x v="0"/>
  </r>
  <r>
    <s v="ORD00593"/>
    <x v="143"/>
    <x v="2"/>
    <x v="1"/>
    <x v="22"/>
    <x v="0"/>
    <x v="10"/>
    <n v="35000"/>
    <n v="12"/>
    <n v="15"/>
    <n v="10"/>
    <n v="357000"/>
    <n v="305526.55"/>
    <n v="51473.450000000012"/>
    <s v="NO"/>
    <x v="1"/>
    <x v="1"/>
  </r>
  <r>
    <s v="ORD00594"/>
    <x v="138"/>
    <x v="0"/>
    <x v="5"/>
    <x v="17"/>
    <x v="1"/>
    <x v="1"/>
    <n v="1200"/>
    <n v="10"/>
    <n v="5"/>
    <n v="15"/>
    <n v="11400"/>
    <n v="10811.62"/>
    <n v="588.3799999999992"/>
    <s v="YES"/>
    <x v="1"/>
    <x v="2"/>
  </r>
  <r>
    <s v="ORD00595"/>
    <x v="40"/>
    <x v="2"/>
    <x v="1"/>
    <x v="10"/>
    <x v="1"/>
    <x v="9"/>
    <n v="1200"/>
    <n v="9"/>
    <n v="10"/>
    <n v="10"/>
    <n v="9720"/>
    <n v="9122.94"/>
    <n v="597.05999999999949"/>
    <s v="NO"/>
    <x v="1"/>
    <x v="1"/>
  </r>
  <r>
    <s v="ORD00596"/>
    <x v="159"/>
    <x v="2"/>
    <x v="0"/>
    <x v="8"/>
    <x v="1"/>
    <x v="3"/>
    <n v="2800"/>
    <n v="14"/>
    <n v="10"/>
    <n v="5"/>
    <n v="35280"/>
    <n v="32117.94"/>
    <n v="3162.0600000000013"/>
    <s v="NO"/>
    <x v="1"/>
    <x v="1"/>
  </r>
  <r>
    <s v="ORD00597"/>
    <x v="117"/>
    <x v="1"/>
    <x v="1"/>
    <x v="15"/>
    <x v="2"/>
    <x v="6"/>
    <n v="2500"/>
    <n v="1"/>
    <n v="5"/>
    <n v="25"/>
    <n v="2375"/>
    <n v="2157.0100000000002"/>
    <n v="217.98999999999978"/>
    <s v="YES"/>
    <x v="1"/>
    <x v="2"/>
  </r>
  <r>
    <s v="ORD00598"/>
    <x v="155"/>
    <x v="2"/>
    <x v="3"/>
    <x v="11"/>
    <x v="0"/>
    <x v="10"/>
    <n v="60000"/>
    <n v="11"/>
    <n v="15"/>
    <n v="15"/>
    <n v="561000"/>
    <n v="555713.25"/>
    <n v="5286.75"/>
    <s v="NO"/>
    <x v="1"/>
    <x v="1"/>
  </r>
  <r>
    <s v="ORD00599"/>
    <x v="107"/>
    <x v="0"/>
    <x v="3"/>
    <x v="16"/>
    <x v="1"/>
    <x v="3"/>
    <n v="1500"/>
    <n v="9"/>
    <n v="5"/>
    <n v="10"/>
    <n v="12825"/>
    <n v="12177.23"/>
    <n v="647.77000000000044"/>
    <s v="YES"/>
    <x v="1"/>
    <x v="2"/>
  </r>
  <r>
    <s v="ORD00600"/>
    <x v="4"/>
    <x v="2"/>
    <x v="4"/>
    <x v="10"/>
    <x v="1"/>
    <x v="9"/>
    <n v="1200"/>
    <n v="14"/>
    <n v="10"/>
    <n v="10"/>
    <n v="15120"/>
    <n v="15457.06"/>
    <n v="-337.05999999999949"/>
    <s v="NO"/>
    <x v="0"/>
    <x v="0"/>
  </r>
  <r>
    <s v="ORD00601"/>
    <x v="22"/>
    <x v="1"/>
    <x v="5"/>
    <x v="22"/>
    <x v="0"/>
    <x v="10"/>
    <n v="35000"/>
    <n v="6"/>
    <n v="15"/>
    <n v="10"/>
    <n v="178500"/>
    <n v="157029.71"/>
    <n v="21470.290000000008"/>
    <s v="NO"/>
    <x v="1"/>
    <x v="1"/>
  </r>
  <r>
    <s v="ORD00602"/>
    <x v="85"/>
    <x v="3"/>
    <x v="4"/>
    <x v="3"/>
    <x v="1"/>
    <x v="3"/>
    <n v="500"/>
    <n v="6"/>
    <n v="5"/>
    <n v="20"/>
    <n v="2850"/>
    <n v="2812.5"/>
    <n v="37.5"/>
    <s v="YES"/>
    <x v="1"/>
    <x v="2"/>
  </r>
  <r>
    <s v="ORD00603"/>
    <x v="33"/>
    <x v="3"/>
    <x v="0"/>
    <x v="23"/>
    <x v="0"/>
    <x v="12"/>
    <n v="7000"/>
    <n v="7"/>
    <n v="5"/>
    <n v="25"/>
    <n v="46550"/>
    <n v="40072.78"/>
    <n v="6477.2200000000012"/>
    <s v="YES"/>
    <x v="1"/>
    <x v="2"/>
  </r>
  <r>
    <s v="ORD00604"/>
    <x v="53"/>
    <x v="1"/>
    <x v="5"/>
    <x v="11"/>
    <x v="0"/>
    <x v="10"/>
    <n v="60000"/>
    <n v="10"/>
    <n v="10"/>
    <n v="25"/>
    <n v="540000"/>
    <n v="467858.92"/>
    <n v="72141.080000000016"/>
    <s v="YES"/>
    <x v="1"/>
    <x v="2"/>
  </r>
  <r>
    <s v="ORD00605"/>
    <x v="141"/>
    <x v="1"/>
    <x v="2"/>
    <x v="17"/>
    <x v="1"/>
    <x v="1"/>
    <n v="1200"/>
    <n v="15"/>
    <n v="5"/>
    <n v="25"/>
    <n v="17100"/>
    <n v="15178.64"/>
    <n v="1921.3600000000006"/>
    <s v="YES"/>
    <x v="1"/>
    <x v="2"/>
  </r>
  <r>
    <s v="ORD00606"/>
    <x v="12"/>
    <x v="1"/>
    <x v="5"/>
    <x v="4"/>
    <x v="2"/>
    <x v="4"/>
    <n v="15000"/>
    <n v="10"/>
    <n v="10"/>
    <n v="5"/>
    <n v="135000"/>
    <n v="138833.67000000001"/>
    <n v="-3833.6700000000128"/>
    <s v="NO"/>
    <x v="0"/>
    <x v="0"/>
  </r>
  <r>
    <s v="ORD00607"/>
    <x v="113"/>
    <x v="1"/>
    <x v="2"/>
    <x v="16"/>
    <x v="1"/>
    <x v="3"/>
    <n v="1500"/>
    <n v="7"/>
    <n v="10"/>
    <n v="25"/>
    <n v="9450"/>
    <n v="8972.84"/>
    <n v="477.15999999999985"/>
    <s v="YES"/>
    <x v="1"/>
    <x v="2"/>
  </r>
  <r>
    <s v="ORD00608"/>
    <x v="43"/>
    <x v="0"/>
    <x v="0"/>
    <x v="4"/>
    <x v="2"/>
    <x v="4"/>
    <n v="15000"/>
    <n v="12"/>
    <n v="15"/>
    <n v="15"/>
    <n v="153000"/>
    <n v="139967.37"/>
    <n v="13032.630000000005"/>
    <s v="NO"/>
    <x v="1"/>
    <x v="1"/>
  </r>
  <r>
    <s v="ORD00609"/>
    <x v="92"/>
    <x v="0"/>
    <x v="5"/>
    <x v="16"/>
    <x v="1"/>
    <x v="3"/>
    <n v="1500"/>
    <n v="8"/>
    <n v="15"/>
    <n v="25"/>
    <n v="10200"/>
    <n v="10560.67"/>
    <n v="-360.67000000000007"/>
    <s v="YES"/>
    <x v="0"/>
    <x v="2"/>
  </r>
  <r>
    <s v="ORD00610"/>
    <x v="19"/>
    <x v="1"/>
    <x v="3"/>
    <x v="9"/>
    <x v="3"/>
    <x v="8"/>
    <n v="4000"/>
    <n v="10"/>
    <n v="15"/>
    <n v="5"/>
    <n v="34000"/>
    <n v="30251.14"/>
    <n v="3748.8600000000006"/>
    <s v="NO"/>
    <x v="1"/>
    <x v="1"/>
  </r>
  <r>
    <s v="ORD00611"/>
    <x v="48"/>
    <x v="3"/>
    <x v="5"/>
    <x v="13"/>
    <x v="0"/>
    <x v="12"/>
    <n v="8000"/>
    <n v="9"/>
    <n v="15"/>
    <n v="20"/>
    <n v="61200"/>
    <n v="55821.79"/>
    <n v="5378.2099999999991"/>
    <s v="YES"/>
    <x v="1"/>
    <x v="2"/>
  </r>
  <r>
    <s v="ORD00612"/>
    <x v="167"/>
    <x v="0"/>
    <x v="4"/>
    <x v="0"/>
    <x v="0"/>
    <x v="0"/>
    <n v="6000"/>
    <n v="6"/>
    <n v="5"/>
    <n v="25"/>
    <n v="34200"/>
    <n v="31217.48"/>
    <n v="2982.5200000000004"/>
    <s v="YES"/>
    <x v="1"/>
    <x v="2"/>
  </r>
  <r>
    <s v="ORD00613"/>
    <x v="20"/>
    <x v="0"/>
    <x v="1"/>
    <x v="17"/>
    <x v="1"/>
    <x v="1"/>
    <n v="1200"/>
    <n v="10"/>
    <n v="5"/>
    <n v="25"/>
    <n v="11400"/>
    <n v="11016.71"/>
    <n v="383.29000000000087"/>
    <s v="YES"/>
    <x v="1"/>
    <x v="2"/>
  </r>
  <r>
    <s v="ORD00614"/>
    <x v="98"/>
    <x v="3"/>
    <x v="1"/>
    <x v="10"/>
    <x v="1"/>
    <x v="9"/>
    <n v="1200"/>
    <n v="11"/>
    <n v="15"/>
    <n v="20"/>
    <n v="11220"/>
    <n v="11617.19"/>
    <n v="-397.19000000000051"/>
    <s v="YES"/>
    <x v="0"/>
    <x v="2"/>
  </r>
  <r>
    <s v="ORD00615"/>
    <x v="163"/>
    <x v="0"/>
    <x v="2"/>
    <x v="17"/>
    <x v="1"/>
    <x v="1"/>
    <n v="1200"/>
    <n v="12"/>
    <n v="10"/>
    <n v="20"/>
    <n v="12960"/>
    <n v="12765.87"/>
    <n v="194.1299999999992"/>
    <s v="YES"/>
    <x v="1"/>
    <x v="2"/>
  </r>
  <r>
    <s v="ORD00616"/>
    <x v="56"/>
    <x v="1"/>
    <x v="4"/>
    <x v="3"/>
    <x v="1"/>
    <x v="3"/>
    <n v="500"/>
    <n v="3"/>
    <n v="15"/>
    <n v="20"/>
    <n v="1275"/>
    <n v="1181.42"/>
    <n v="93.579999999999927"/>
    <s v="YES"/>
    <x v="1"/>
    <x v="2"/>
  </r>
  <r>
    <s v="ORD00617"/>
    <x v="60"/>
    <x v="1"/>
    <x v="4"/>
    <x v="10"/>
    <x v="1"/>
    <x v="9"/>
    <n v="1200"/>
    <n v="1"/>
    <n v="15"/>
    <n v="5"/>
    <n v="1020"/>
    <n v="926.26"/>
    <n v="93.740000000000009"/>
    <s v="NO"/>
    <x v="1"/>
    <x v="1"/>
  </r>
  <r>
    <s v="ORD00618"/>
    <x v="171"/>
    <x v="1"/>
    <x v="5"/>
    <x v="10"/>
    <x v="1"/>
    <x v="9"/>
    <n v="1200"/>
    <n v="11"/>
    <n v="15"/>
    <n v="0"/>
    <n v="11220"/>
    <n v="10324.51"/>
    <n v="895.48999999999978"/>
    <s v="NO"/>
    <x v="1"/>
    <x v="1"/>
  </r>
  <r>
    <s v="ORD00619"/>
    <x v="155"/>
    <x v="3"/>
    <x v="4"/>
    <x v="23"/>
    <x v="0"/>
    <x v="12"/>
    <n v="7000"/>
    <n v="1"/>
    <n v="10"/>
    <n v="15"/>
    <n v="6300"/>
    <n v="5595.18"/>
    <n v="704.81999999999971"/>
    <s v="YES"/>
    <x v="1"/>
    <x v="2"/>
  </r>
  <r>
    <s v="ORD00620"/>
    <x v="12"/>
    <x v="2"/>
    <x v="1"/>
    <x v="16"/>
    <x v="1"/>
    <x v="3"/>
    <n v="1500"/>
    <n v="9"/>
    <n v="10"/>
    <n v="10"/>
    <n v="12150"/>
    <n v="12418.44"/>
    <n v="-268.44000000000051"/>
    <s v="NO"/>
    <x v="0"/>
    <x v="0"/>
  </r>
  <r>
    <s v="ORD00621"/>
    <x v="62"/>
    <x v="1"/>
    <x v="0"/>
    <x v="4"/>
    <x v="2"/>
    <x v="4"/>
    <n v="15000"/>
    <n v="12"/>
    <n v="10"/>
    <n v="5"/>
    <n v="162000"/>
    <n v="140832.98000000001"/>
    <n v="21167.01999999999"/>
    <s v="NO"/>
    <x v="1"/>
    <x v="1"/>
  </r>
  <r>
    <s v="ORD00622"/>
    <x v="60"/>
    <x v="3"/>
    <x v="1"/>
    <x v="10"/>
    <x v="1"/>
    <x v="9"/>
    <n v="1200"/>
    <n v="9"/>
    <n v="15"/>
    <n v="5"/>
    <n v="9180"/>
    <n v="8390.57"/>
    <n v="789.43000000000029"/>
    <s v="NO"/>
    <x v="1"/>
    <x v="1"/>
  </r>
  <r>
    <s v="ORD00623"/>
    <x v="166"/>
    <x v="1"/>
    <x v="1"/>
    <x v="2"/>
    <x v="1"/>
    <x v="2"/>
    <n v="1200"/>
    <n v="11"/>
    <n v="15"/>
    <n v="25"/>
    <n v="11220"/>
    <n v="10860.96"/>
    <n v="359.04000000000087"/>
    <s v="YES"/>
    <x v="1"/>
    <x v="2"/>
  </r>
  <r>
    <s v="ORD00624"/>
    <x v="103"/>
    <x v="2"/>
    <x v="1"/>
    <x v="9"/>
    <x v="3"/>
    <x v="8"/>
    <n v="4000"/>
    <n v="6"/>
    <n v="5"/>
    <n v="5"/>
    <n v="22800"/>
    <n v="21437.95"/>
    <n v="1362.0499999999993"/>
    <s v="NO"/>
    <x v="1"/>
    <x v="1"/>
  </r>
  <r>
    <s v="ORD00625"/>
    <x v="7"/>
    <x v="2"/>
    <x v="0"/>
    <x v="15"/>
    <x v="2"/>
    <x v="6"/>
    <n v="2500"/>
    <n v="6"/>
    <n v="5"/>
    <n v="10"/>
    <n v="14250"/>
    <n v="13419.44"/>
    <n v="830.55999999999949"/>
    <s v="YES"/>
    <x v="1"/>
    <x v="2"/>
  </r>
  <r>
    <s v="ORD00626"/>
    <x v="35"/>
    <x v="1"/>
    <x v="1"/>
    <x v="22"/>
    <x v="0"/>
    <x v="10"/>
    <n v="35000"/>
    <n v="7"/>
    <n v="10"/>
    <n v="0"/>
    <n v="220500"/>
    <n v="199719.31"/>
    <n v="20780.690000000002"/>
    <s v="NO"/>
    <x v="1"/>
    <x v="1"/>
  </r>
  <r>
    <s v="ORD00627"/>
    <x v="120"/>
    <x v="1"/>
    <x v="5"/>
    <x v="23"/>
    <x v="0"/>
    <x v="12"/>
    <n v="7000"/>
    <n v="8"/>
    <n v="10"/>
    <n v="25"/>
    <n v="50400"/>
    <n v="44707.75"/>
    <n v="5692.25"/>
    <s v="YES"/>
    <x v="1"/>
    <x v="2"/>
  </r>
  <r>
    <s v="ORD00628"/>
    <x v="6"/>
    <x v="3"/>
    <x v="2"/>
    <x v="21"/>
    <x v="6"/>
    <x v="14"/>
    <n v="3500"/>
    <n v="13"/>
    <n v="10"/>
    <n v="10"/>
    <n v="40950"/>
    <n v="35964.269999999997"/>
    <n v="4985.7300000000032"/>
    <s v="NO"/>
    <x v="1"/>
    <x v="1"/>
  </r>
  <r>
    <s v="ORD00629"/>
    <x v="142"/>
    <x v="0"/>
    <x v="1"/>
    <x v="17"/>
    <x v="1"/>
    <x v="1"/>
    <n v="1200"/>
    <n v="1"/>
    <n v="5"/>
    <n v="5"/>
    <n v="1140"/>
    <n v="970.7"/>
    <n v="169.29999999999995"/>
    <s v="NO"/>
    <x v="1"/>
    <x v="1"/>
  </r>
  <r>
    <s v="ORD00630"/>
    <x v="43"/>
    <x v="1"/>
    <x v="3"/>
    <x v="20"/>
    <x v="6"/>
    <x v="14"/>
    <n v="12000"/>
    <n v="3"/>
    <n v="10"/>
    <n v="10"/>
    <n v="32400"/>
    <n v="27617.31"/>
    <n v="4782.6899999999987"/>
    <s v="NO"/>
    <x v="1"/>
    <x v="1"/>
  </r>
  <r>
    <s v="ORD00631"/>
    <x v="156"/>
    <x v="1"/>
    <x v="0"/>
    <x v="0"/>
    <x v="0"/>
    <x v="0"/>
    <n v="6000"/>
    <n v="6"/>
    <n v="15"/>
    <n v="20"/>
    <n v="30600"/>
    <n v="31361.360000000001"/>
    <n v="-761.36000000000058"/>
    <s v="YES"/>
    <x v="0"/>
    <x v="2"/>
  </r>
  <r>
    <s v="ORD00632"/>
    <x v="141"/>
    <x v="2"/>
    <x v="5"/>
    <x v="21"/>
    <x v="6"/>
    <x v="14"/>
    <n v="3500"/>
    <n v="3"/>
    <n v="5"/>
    <n v="0"/>
    <n v="9975"/>
    <n v="9487.92"/>
    <n v="487.07999999999993"/>
    <s v="NO"/>
    <x v="1"/>
    <x v="1"/>
  </r>
  <r>
    <s v="ORD00633"/>
    <x v="23"/>
    <x v="1"/>
    <x v="5"/>
    <x v="0"/>
    <x v="0"/>
    <x v="0"/>
    <n v="6000"/>
    <n v="2"/>
    <n v="5"/>
    <n v="5"/>
    <n v="11400"/>
    <n v="11025.38"/>
    <n v="374.6200000000008"/>
    <s v="NO"/>
    <x v="1"/>
    <x v="1"/>
  </r>
  <r>
    <s v="ORD00634"/>
    <x v="7"/>
    <x v="3"/>
    <x v="2"/>
    <x v="22"/>
    <x v="0"/>
    <x v="10"/>
    <n v="35000"/>
    <n v="12"/>
    <n v="15"/>
    <n v="5"/>
    <n v="357000"/>
    <n v="325913.83"/>
    <n v="31086.169999999984"/>
    <s v="NO"/>
    <x v="1"/>
    <x v="1"/>
  </r>
  <r>
    <s v="ORD00635"/>
    <x v="165"/>
    <x v="2"/>
    <x v="5"/>
    <x v="0"/>
    <x v="0"/>
    <x v="0"/>
    <n v="6000"/>
    <n v="9"/>
    <n v="10"/>
    <n v="15"/>
    <n v="48600"/>
    <n v="49805.72"/>
    <n v="-1205.7200000000012"/>
    <s v="YES"/>
    <x v="0"/>
    <x v="2"/>
  </r>
  <r>
    <s v="ORD00636"/>
    <x v="61"/>
    <x v="1"/>
    <x v="1"/>
    <x v="16"/>
    <x v="1"/>
    <x v="3"/>
    <n v="1500"/>
    <n v="3"/>
    <n v="10"/>
    <n v="25"/>
    <n v="4050"/>
    <n v="3464.55"/>
    <n v="585.44999999999982"/>
    <s v="YES"/>
    <x v="1"/>
    <x v="2"/>
  </r>
  <r>
    <s v="ORD00637"/>
    <x v="106"/>
    <x v="2"/>
    <x v="0"/>
    <x v="3"/>
    <x v="1"/>
    <x v="3"/>
    <n v="500"/>
    <n v="5"/>
    <n v="10"/>
    <n v="15"/>
    <n v="2250"/>
    <n v="2101.29"/>
    <n v="148.71000000000004"/>
    <s v="YES"/>
    <x v="1"/>
    <x v="2"/>
  </r>
  <r>
    <s v="ORD00638"/>
    <x v="19"/>
    <x v="3"/>
    <x v="3"/>
    <x v="23"/>
    <x v="0"/>
    <x v="12"/>
    <n v="7000"/>
    <n v="6"/>
    <n v="15"/>
    <n v="15"/>
    <n v="35700"/>
    <n v="37092.35"/>
    <n v="-1392.3499999999985"/>
    <s v="NO"/>
    <x v="0"/>
    <x v="0"/>
  </r>
  <r>
    <s v="ORD00639"/>
    <x v="6"/>
    <x v="1"/>
    <x v="5"/>
    <x v="18"/>
    <x v="5"/>
    <x v="13"/>
    <n v="18000"/>
    <n v="6"/>
    <n v="10"/>
    <n v="25"/>
    <n v="97200"/>
    <n v="86639.12"/>
    <n v="10560.880000000005"/>
    <s v="YES"/>
    <x v="1"/>
    <x v="2"/>
  </r>
  <r>
    <s v="ORD00640"/>
    <x v="22"/>
    <x v="2"/>
    <x v="2"/>
    <x v="20"/>
    <x v="6"/>
    <x v="14"/>
    <n v="12000"/>
    <n v="9"/>
    <n v="10"/>
    <n v="15"/>
    <n v="97200"/>
    <n v="83751.81"/>
    <n v="13448.190000000002"/>
    <s v="YES"/>
    <x v="1"/>
    <x v="2"/>
  </r>
  <r>
    <s v="ORD00641"/>
    <x v="154"/>
    <x v="0"/>
    <x v="4"/>
    <x v="0"/>
    <x v="0"/>
    <x v="0"/>
    <n v="6000"/>
    <n v="9"/>
    <n v="15"/>
    <n v="25"/>
    <n v="45900"/>
    <n v="40935.19"/>
    <n v="4964.8099999999977"/>
    <s v="YES"/>
    <x v="1"/>
    <x v="2"/>
  </r>
  <r>
    <s v="ORD00642"/>
    <x v="119"/>
    <x v="1"/>
    <x v="2"/>
    <x v="4"/>
    <x v="2"/>
    <x v="4"/>
    <n v="15000"/>
    <n v="5"/>
    <n v="10"/>
    <n v="25"/>
    <n v="67500"/>
    <n v="70193.679999999993"/>
    <n v="-2693.679999999993"/>
    <s v="YES"/>
    <x v="0"/>
    <x v="2"/>
  </r>
  <r>
    <s v="ORD00643"/>
    <x v="65"/>
    <x v="0"/>
    <x v="0"/>
    <x v="0"/>
    <x v="0"/>
    <x v="0"/>
    <n v="6000"/>
    <n v="11"/>
    <n v="10"/>
    <n v="20"/>
    <n v="59400"/>
    <n v="60146.55"/>
    <n v="-746.55000000000291"/>
    <s v="YES"/>
    <x v="0"/>
    <x v="2"/>
  </r>
  <r>
    <s v="ORD00644"/>
    <x v="44"/>
    <x v="1"/>
    <x v="3"/>
    <x v="22"/>
    <x v="0"/>
    <x v="10"/>
    <n v="35000"/>
    <n v="15"/>
    <n v="5"/>
    <n v="25"/>
    <n v="498750"/>
    <n v="444782.94"/>
    <n v="53967.06"/>
    <s v="YES"/>
    <x v="1"/>
    <x v="2"/>
  </r>
  <r>
    <s v="ORD00645"/>
    <x v="113"/>
    <x v="2"/>
    <x v="2"/>
    <x v="6"/>
    <x v="2"/>
    <x v="6"/>
    <n v="4500"/>
    <n v="15"/>
    <n v="5"/>
    <n v="10"/>
    <n v="64125"/>
    <n v="58541.61"/>
    <n v="5583.3899999999994"/>
    <s v="YES"/>
    <x v="1"/>
    <x v="2"/>
  </r>
  <r>
    <s v="ORD00646"/>
    <x v="66"/>
    <x v="0"/>
    <x v="3"/>
    <x v="12"/>
    <x v="4"/>
    <x v="11"/>
    <n v="8000"/>
    <n v="2"/>
    <n v="5"/>
    <n v="25"/>
    <n v="15200"/>
    <n v="14163.3"/>
    <n v="1036.7000000000007"/>
    <s v="YES"/>
    <x v="1"/>
    <x v="2"/>
  </r>
  <r>
    <s v="ORD00647"/>
    <x v="154"/>
    <x v="1"/>
    <x v="0"/>
    <x v="1"/>
    <x v="1"/>
    <x v="1"/>
    <n v="1800"/>
    <n v="6"/>
    <n v="5"/>
    <n v="10"/>
    <n v="10260"/>
    <n v="9060.83"/>
    <n v="1199.17"/>
    <s v="YES"/>
    <x v="1"/>
    <x v="2"/>
  </r>
  <r>
    <s v="ORD00648"/>
    <x v="100"/>
    <x v="3"/>
    <x v="2"/>
    <x v="15"/>
    <x v="2"/>
    <x v="6"/>
    <n v="2500"/>
    <n v="10"/>
    <n v="15"/>
    <n v="0"/>
    <n v="21250"/>
    <n v="18247.22"/>
    <n v="3002.7799999999988"/>
    <s v="NO"/>
    <x v="1"/>
    <x v="1"/>
  </r>
  <r>
    <s v="ORD00649"/>
    <x v="143"/>
    <x v="3"/>
    <x v="4"/>
    <x v="17"/>
    <x v="1"/>
    <x v="1"/>
    <n v="1200"/>
    <n v="4"/>
    <n v="15"/>
    <n v="15"/>
    <n v="4080"/>
    <n v="3472.36"/>
    <n v="607.63999999999987"/>
    <s v="NO"/>
    <x v="1"/>
    <x v="1"/>
  </r>
  <r>
    <s v="ORD00650"/>
    <x v="102"/>
    <x v="0"/>
    <x v="4"/>
    <x v="1"/>
    <x v="1"/>
    <x v="1"/>
    <n v="1800"/>
    <n v="4"/>
    <n v="15"/>
    <n v="5"/>
    <n v="6120"/>
    <n v="5391.76"/>
    <n v="728.23999999999978"/>
    <s v="NO"/>
    <x v="1"/>
    <x v="1"/>
  </r>
  <r>
    <s v="ORD00651"/>
    <x v="120"/>
    <x v="3"/>
    <x v="2"/>
    <x v="6"/>
    <x v="2"/>
    <x v="6"/>
    <n v="4500"/>
    <n v="14"/>
    <n v="10"/>
    <n v="15"/>
    <n v="56700"/>
    <n v="52016.62"/>
    <n v="4683.3799999999974"/>
    <s v="YES"/>
    <x v="1"/>
    <x v="2"/>
  </r>
  <r>
    <s v="ORD00652"/>
    <x v="99"/>
    <x v="2"/>
    <x v="3"/>
    <x v="3"/>
    <x v="1"/>
    <x v="3"/>
    <n v="500"/>
    <n v="5"/>
    <n v="10"/>
    <n v="0"/>
    <n v="2250"/>
    <n v="1979.73"/>
    <n v="270.27"/>
    <s v="NO"/>
    <x v="1"/>
    <x v="1"/>
  </r>
  <r>
    <s v="ORD00653"/>
    <x v="155"/>
    <x v="2"/>
    <x v="0"/>
    <x v="12"/>
    <x v="4"/>
    <x v="11"/>
    <n v="8000"/>
    <n v="9"/>
    <n v="5"/>
    <n v="25"/>
    <n v="68400"/>
    <n v="69777.17"/>
    <n v="-1377.1699999999983"/>
    <s v="YES"/>
    <x v="0"/>
    <x v="2"/>
  </r>
  <r>
    <s v="ORD00654"/>
    <x v="126"/>
    <x v="2"/>
    <x v="1"/>
    <x v="14"/>
    <x v="1"/>
    <x v="2"/>
    <n v="6500"/>
    <n v="6"/>
    <n v="5"/>
    <n v="20"/>
    <n v="37050"/>
    <n v="38787.040000000001"/>
    <n v="-1737.0400000000009"/>
    <s v="YES"/>
    <x v="0"/>
    <x v="2"/>
  </r>
  <r>
    <s v="ORD00655"/>
    <x v="113"/>
    <x v="1"/>
    <x v="1"/>
    <x v="2"/>
    <x v="1"/>
    <x v="2"/>
    <n v="1200"/>
    <n v="10"/>
    <n v="15"/>
    <n v="10"/>
    <n v="10200"/>
    <n v="9281.18"/>
    <n v="918.81999999999971"/>
    <s v="NO"/>
    <x v="1"/>
    <x v="1"/>
  </r>
  <r>
    <s v="ORD00656"/>
    <x v="45"/>
    <x v="2"/>
    <x v="0"/>
    <x v="4"/>
    <x v="2"/>
    <x v="4"/>
    <n v="15000"/>
    <n v="8"/>
    <n v="5"/>
    <n v="15"/>
    <n v="114000"/>
    <n v="115491.88"/>
    <n v="-1491.8800000000047"/>
    <s v="YES"/>
    <x v="0"/>
    <x v="2"/>
  </r>
  <r>
    <s v="ORD00657"/>
    <x v="76"/>
    <x v="3"/>
    <x v="4"/>
    <x v="23"/>
    <x v="0"/>
    <x v="12"/>
    <n v="7000"/>
    <n v="11"/>
    <n v="10"/>
    <n v="15"/>
    <n v="69300"/>
    <n v="61818.82"/>
    <n v="7481.18"/>
    <s v="YES"/>
    <x v="1"/>
    <x v="2"/>
  </r>
  <r>
    <s v="ORD00658"/>
    <x v="46"/>
    <x v="3"/>
    <x v="1"/>
    <x v="20"/>
    <x v="6"/>
    <x v="14"/>
    <n v="12000"/>
    <n v="15"/>
    <n v="15"/>
    <n v="20"/>
    <n v="153000"/>
    <n v="137955.31"/>
    <n v="15044.690000000002"/>
    <s v="YES"/>
    <x v="1"/>
    <x v="2"/>
  </r>
  <r>
    <s v="ORD00659"/>
    <x v="101"/>
    <x v="0"/>
    <x v="4"/>
    <x v="12"/>
    <x v="4"/>
    <x v="11"/>
    <n v="8000"/>
    <n v="7"/>
    <n v="5"/>
    <n v="15"/>
    <n v="53200"/>
    <n v="46399.42"/>
    <n v="6800.5800000000017"/>
    <s v="YES"/>
    <x v="1"/>
    <x v="2"/>
  </r>
  <r>
    <s v="ORD00660"/>
    <x v="31"/>
    <x v="1"/>
    <x v="2"/>
    <x v="19"/>
    <x v="0"/>
    <x v="12"/>
    <n v="3500"/>
    <n v="14"/>
    <n v="15"/>
    <n v="5"/>
    <n v="41650"/>
    <n v="38773.19"/>
    <n v="2876.8099999999977"/>
    <s v="NO"/>
    <x v="1"/>
    <x v="1"/>
  </r>
  <r>
    <s v="ORD00661"/>
    <x v="18"/>
    <x v="2"/>
    <x v="5"/>
    <x v="22"/>
    <x v="0"/>
    <x v="10"/>
    <n v="35000"/>
    <n v="8"/>
    <n v="15"/>
    <n v="15"/>
    <n v="238000"/>
    <n v="209428.01"/>
    <n v="28571.989999999991"/>
    <s v="NO"/>
    <x v="1"/>
    <x v="1"/>
  </r>
  <r>
    <s v="ORD00662"/>
    <x v="10"/>
    <x v="2"/>
    <x v="0"/>
    <x v="19"/>
    <x v="0"/>
    <x v="12"/>
    <n v="3500"/>
    <n v="6"/>
    <n v="5"/>
    <n v="20"/>
    <n v="19950"/>
    <n v="17058.48"/>
    <n v="2891.5200000000004"/>
    <s v="YES"/>
    <x v="1"/>
    <x v="2"/>
  </r>
  <r>
    <s v="ORD00663"/>
    <x v="160"/>
    <x v="0"/>
    <x v="5"/>
    <x v="10"/>
    <x v="1"/>
    <x v="9"/>
    <n v="1200"/>
    <n v="2"/>
    <n v="5"/>
    <n v="10"/>
    <n v="2280"/>
    <n v="2031.11"/>
    <n v="248.8900000000001"/>
    <s v="YES"/>
    <x v="1"/>
    <x v="2"/>
  </r>
  <r>
    <s v="ORD00664"/>
    <x v="50"/>
    <x v="0"/>
    <x v="2"/>
    <x v="21"/>
    <x v="6"/>
    <x v="14"/>
    <n v="3500"/>
    <n v="9"/>
    <n v="10"/>
    <n v="5"/>
    <n v="28350"/>
    <n v="26321.94"/>
    <n v="2028.0600000000013"/>
    <s v="NO"/>
    <x v="1"/>
    <x v="1"/>
  </r>
  <r>
    <s v="ORD00665"/>
    <x v="118"/>
    <x v="2"/>
    <x v="3"/>
    <x v="11"/>
    <x v="0"/>
    <x v="10"/>
    <n v="60000"/>
    <n v="5"/>
    <n v="15"/>
    <n v="15"/>
    <n v="255000"/>
    <n v="228326.08"/>
    <n v="26673.920000000013"/>
    <s v="NO"/>
    <x v="1"/>
    <x v="1"/>
  </r>
  <r>
    <s v="ORD00666"/>
    <x v="101"/>
    <x v="3"/>
    <x v="0"/>
    <x v="12"/>
    <x v="4"/>
    <x v="11"/>
    <n v="8000"/>
    <n v="4"/>
    <n v="10"/>
    <n v="25"/>
    <n v="28800"/>
    <n v="26807.95"/>
    <n v="1992.0499999999993"/>
    <s v="YES"/>
    <x v="1"/>
    <x v="2"/>
  </r>
  <r>
    <s v="ORD00667"/>
    <x v="73"/>
    <x v="3"/>
    <x v="4"/>
    <x v="0"/>
    <x v="0"/>
    <x v="0"/>
    <n v="6000"/>
    <n v="10"/>
    <n v="15"/>
    <n v="15"/>
    <n v="51000"/>
    <n v="51114.5"/>
    <n v="-114.5"/>
    <s v="NO"/>
    <x v="0"/>
    <x v="0"/>
  </r>
  <r>
    <s v="ORD00668"/>
    <x v="32"/>
    <x v="1"/>
    <x v="4"/>
    <x v="2"/>
    <x v="1"/>
    <x v="2"/>
    <n v="1200"/>
    <n v="14"/>
    <n v="5"/>
    <n v="0"/>
    <n v="15960"/>
    <n v="14139.53"/>
    <n v="1820.4699999999993"/>
    <s v="NO"/>
    <x v="1"/>
    <x v="1"/>
  </r>
  <r>
    <s v="ORD00669"/>
    <x v="25"/>
    <x v="0"/>
    <x v="5"/>
    <x v="14"/>
    <x v="1"/>
    <x v="2"/>
    <n v="6500"/>
    <n v="6"/>
    <n v="10"/>
    <n v="25"/>
    <n v="35100"/>
    <n v="30268.47"/>
    <n v="4831.5299999999988"/>
    <s v="YES"/>
    <x v="1"/>
    <x v="2"/>
  </r>
  <r>
    <s v="ORD00670"/>
    <x v="100"/>
    <x v="1"/>
    <x v="4"/>
    <x v="4"/>
    <x v="2"/>
    <x v="4"/>
    <n v="15000"/>
    <n v="5"/>
    <n v="5"/>
    <n v="0"/>
    <n v="71250"/>
    <n v="67317.27"/>
    <n v="3932.7299999999959"/>
    <s v="NO"/>
    <x v="1"/>
    <x v="1"/>
  </r>
  <r>
    <s v="ORD00671"/>
    <x v="36"/>
    <x v="0"/>
    <x v="0"/>
    <x v="6"/>
    <x v="2"/>
    <x v="6"/>
    <n v="4500"/>
    <n v="5"/>
    <n v="10"/>
    <n v="25"/>
    <n v="20250"/>
    <n v="20563.259999999998"/>
    <n v="-313.2599999999984"/>
    <s v="YES"/>
    <x v="0"/>
    <x v="2"/>
  </r>
  <r>
    <s v="ORD00672"/>
    <x v="15"/>
    <x v="0"/>
    <x v="3"/>
    <x v="15"/>
    <x v="2"/>
    <x v="6"/>
    <n v="2500"/>
    <n v="14"/>
    <n v="5"/>
    <n v="0"/>
    <n v="33250"/>
    <n v="31498.799999999999"/>
    <n v="1751.2000000000007"/>
    <s v="NO"/>
    <x v="1"/>
    <x v="1"/>
  </r>
  <r>
    <s v="ORD00673"/>
    <x v="77"/>
    <x v="3"/>
    <x v="2"/>
    <x v="1"/>
    <x v="1"/>
    <x v="1"/>
    <n v="1800"/>
    <n v="9"/>
    <n v="10"/>
    <n v="15"/>
    <n v="14580"/>
    <n v="14352.65"/>
    <n v="227.35000000000036"/>
    <s v="YES"/>
    <x v="1"/>
    <x v="2"/>
  </r>
  <r>
    <s v="ORD00674"/>
    <x v="96"/>
    <x v="0"/>
    <x v="3"/>
    <x v="6"/>
    <x v="2"/>
    <x v="6"/>
    <n v="4500"/>
    <n v="2"/>
    <n v="15"/>
    <n v="20"/>
    <n v="7650"/>
    <n v="6850.8"/>
    <n v="799.19999999999982"/>
    <s v="YES"/>
    <x v="1"/>
    <x v="2"/>
  </r>
  <r>
    <s v="ORD00675"/>
    <x v="64"/>
    <x v="1"/>
    <x v="1"/>
    <x v="12"/>
    <x v="4"/>
    <x v="11"/>
    <n v="8000"/>
    <n v="10"/>
    <n v="10"/>
    <n v="20"/>
    <n v="72000"/>
    <n v="63390.95"/>
    <n v="8609.0500000000029"/>
    <s v="YES"/>
    <x v="1"/>
    <x v="2"/>
  </r>
  <r>
    <s v="ORD00676"/>
    <x v="21"/>
    <x v="1"/>
    <x v="3"/>
    <x v="16"/>
    <x v="1"/>
    <x v="3"/>
    <n v="1500"/>
    <n v="13"/>
    <n v="10"/>
    <n v="10"/>
    <n v="17550"/>
    <n v="16908.7"/>
    <n v="641.29999999999927"/>
    <s v="NO"/>
    <x v="1"/>
    <x v="1"/>
  </r>
  <r>
    <s v="ORD00677"/>
    <x v="79"/>
    <x v="1"/>
    <x v="2"/>
    <x v="8"/>
    <x v="1"/>
    <x v="3"/>
    <n v="2800"/>
    <n v="5"/>
    <n v="5"/>
    <n v="5"/>
    <n v="13300"/>
    <n v="13011.53"/>
    <n v="288.46999999999935"/>
    <s v="NO"/>
    <x v="1"/>
    <x v="1"/>
  </r>
  <r>
    <s v="ORD00678"/>
    <x v="149"/>
    <x v="0"/>
    <x v="4"/>
    <x v="18"/>
    <x v="5"/>
    <x v="13"/>
    <n v="18000"/>
    <n v="9"/>
    <n v="10"/>
    <n v="15"/>
    <n v="145800"/>
    <n v="127598.3"/>
    <n v="18201.699999999997"/>
    <s v="YES"/>
    <x v="1"/>
    <x v="2"/>
  </r>
  <r>
    <s v="ORD00679"/>
    <x v="120"/>
    <x v="3"/>
    <x v="2"/>
    <x v="19"/>
    <x v="0"/>
    <x v="12"/>
    <n v="3500"/>
    <n v="9"/>
    <n v="5"/>
    <n v="5"/>
    <n v="29925"/>
    <n v="28160.36"/>
    <n v="1764.6399999999994"/>
    <s v="NO"/>
    <x v="1"/>
    <x v="1"/>
  </r>
  <r>
    <s v="ORD00680"/>
    <x v="145"/>
    <x v="2"/>
    <x v="4"/>
    <x v="1"/>
    <x v="1"/>
    <x v="1"/>
    <n v="1800"/>
    <n v="11"/>
    <n v="5"/>
    <n v="15"/>
    <n v="18810"/>
    <n v="17375"/>
    <n v="1435"/>
    <s v="YES"/>
    <x v="1"/>
    <x v="2"/>
  </r>
  <r>
    <s v="ORD00681"/>
    <x v="161"/>
    <x v="0"/>
    <x v="4"/>
    <x v="19"/>
    <x v="0"/>
    <x v="12"/>
    <n v="3500"/>
    <n v="6"/>
    <n v="5"/>
    <n v="20"/>
    <n v="19950"/>
    <n v="18049.900000000001"/>
    <n v="1900.0999999999985"/>
    <s v="YES"/>
    <x v="1"/>
    <x v="2"/>
  </r>
  <r>
    <s v="ORD00682"/>
    <x v="47"/>
    <x v="1"/>
    <x v="4"/>
    <x v="15"/>
    <x v="2"/>
    <x v="6"/>
    <n v="2500"/>
    <n v="6"/>
    <n v="10"/>
    <n v="15"/>
    <n v="13500"/>
    <n v="12385.47"/>
    <n v="1114.5300000000007"/>
    <s v="YES"/>
    <x v="1"/>
    <x v="2"/>
  </r>
  <r>
    <s v="ORD00683"/>
    <x v="100"/>
    <x v="1"/>
    <x v="5"/>
    <x v="2"/>
    <x v="1"/>
    <x v="2"/>
    <n v="1200"/>
    <n v="1"/>
    <n v="15"/>
    <n v="0"/>
    <n v="1020"/>
    <n v="1043"/>
    <n v="-23"/>
    <s v="NO"/>
    <x v="0"/>
    <x v="0"/>
  </r>
  <r>
    <s v="ORD00684"/>
    <x v="60"/>
    <x v="3"/>
    <x v="2"/>
    <x v="4"/>
    <x v="2"/>
    <x v="4"/>
    <n v="15000"/>
    <n v="13"/>
    <n v="5"/>
    <n v="25"/>
    <n v="185250"/>
    <n v="181905.24"/>
    <n v="3344.7600000000093"/>
    <s v="YES"/>
    <x v="1"/>
    <x v="2"/>
  </r>
  <r>
    <s v="ORD00685"/>
    <x v="86"/>
    <x v="3"/>
    <x v="1"/>
    <x v="23"/>
    <x v="0"/>
    <x v="12"/>
    <n v="7000"/>
    <n v="2"/>
    <n v="5"/>
    <n v="0"/>
    <n v="13300"/>
    <n v="11515.82"/>
    <n v="1784.1800000000003"/>
    <s v="NO"/>
    <x v="1"/>
    <x v="1"/>
  </r>
  <r>
    <s v="ORD00686"/>
    <x v="22"/>
    <x v="2"/>
    <x v="0"/>
    <x v="3"/>
    <x v="1"/>
    <x v="3"/>
    <n v="500"/>
    <n v="1"/>
    <n v="5"/>
    <n v="25"/>
    <n v="475"/>
    <n v="495.08"/>
    <n v="-20.079999999999984"/>
    <s v="YES"/>
    <x v="0"/>
    <x v="2"/>
  </r>
  <r>
    <s v="ORD00687"/>
    <x v="95"/>
    <x v="3"/>
    <x v="3"/>
    <x v="2"/>
    <x v="1"/>
    <x v="2"/>
    <n v="1200"/>
    <n v="12"/>
    <n v="10"/>
    <n v="20"/>
    <n v="12960"/>
    <n v="13393.08"/>
    <n v="-433.07999999999993"/>
    <s v="YES"/>
    <x v="0"/>
    <x v="2"/>
  </r>
  <r>
    <s v="ORD00688"/>
    <x v="100"/>
    <x v="3"/>
    <x v="2"/>
    <x v="10"/>
    <x v="1"/>
    <x v="9"/>
    <n v="1200"/>
    <n v="10"/>
    <n v="15"/>
    <n v="25"/>
    <n v="10200"/>
    <n v="10219.620000000001"/>
    <n v="-19.6200000000008"/>
    <s v="YES"/>
    <x v="0"/>
    <x v="2"/>
  </r>
  <r>
    <s v="ORD00689"/>
    <x v="33"/>
    <x v="1"/>
    <x v="0"/>
    <x v="1"/>
    <x v="1"/>
    <x v="1"/>
    <n v="1800"/>
    <n v="7"/>
    <n v="15"/>
    <n v="10"/>
    <n v="10710"/>
    <n v="11118.36"/>
    <n v="-408.36000000000058"/>
    <s v="NO"/>
    <x v="0"/>
    <x v="0"/>
  </r>
  <r>
    <s v="ORD00690"/>
    <x v="55"/>
    <x v="0"/>
    <x v="2"/>
    <x v="2"/>
    <x v="1"/>
    <x v="2"/>
    <n v="1200"/>
    <n v="9"/>
    <n v="15"/>
    <n v="10"/>
    <n v="9180"/>
    <n v="8660.39"/>
    <n v="519.61000000000058"/>
    <s v="NO"/>
    <x v="1"/>
    <x v="1"/>
  </r>
  <r>
    <s v="ORD00691"/>
    <x v="114"/>
    <x v="1"/>
    <x v="4"/>
    <x v="12"/>
    <x v="4"/>
    <x v="11"/>
    <n v="8000"/>
    <n v="7"/>
    <n v="15"/>
    <n v="25"/>
    <n v="47600"/>
    <n v="49091.46"/>
    <n v="-1491.4599999999991"/>
    <s v="YES"/>
    <x v="0"/>
    <x v="2"/>
  </r>
  <r>
    <s v="ORD00692"/>
    <x v="111"/>
    <x v="2"/>
    <x v="1"/>
    <x v="13"/>
    <x v="0"/>
    <x v="12"/>
    <n v="8000"/>
    <n v="2"/>
    <n v="5"/>
    <n v="15"/>
    <n v="15200"/>
    <n v="15336.63"/>
    <n v="-136.6299999999992"/>
    <s v="YES"/>
    <x v="0"/>
    <x v="2"/>
  </r>
  <r>
    <s v="ORD00693"/>
    <x v="47"/>
    <x v="0"/>
    <x v="4"/>
    <x v="21"/>
    <x v="6"/>
    <x v="14"/>
    <n v="3500"/>
    <n v="13"/>
    <n v="5"/>
    <n v="15"/>
    <n v="43225"/>
    <n v="42821.07"/>
    <n v="403.93000000000029"/>
    <s v="YES"/>
    <x v="1"/>
    <x v="2"/>
  </r>
  <r>
    <s v="ORD00694"/>
    <x v="60"/>
    <x v="0"/>
    <x v="4"/>
    <x v="20"/>
    <x v="6"/>
    <x v="14"/>
    <n v="12000"/>
    <n v="13"/>
    <n v="15"/>
    <n v="20"/>
    <n v="132600"/>
    <n v="133753.4"/>
    <n v="-1153.3999999999942"/>
    <s v="YES"/>
    <x v="0"/>
    <x v="2"/>
  </r>
  <r>
    <s v="ORD00695"/>
    <x v="9"/>
    <x v="2"/>
    <x v="0"/>
    <x v="15"/>
    <x v="2"/>
    <x v="6"/>
    <n v="2500"/>
    <n v="2"/>
    <n v="10"/>
    <n v="0"/>
    <n v="4500"/>
    <n v="4651.83"/>
    <n v="-151.82999999999993"/>
    <s v="NO"/>
    <x v="0"/>
    <x v="0"/>
  </r>
  <r>
    <s v="ORD00696"/>
    <x v="101"/>
    <x v="2"/>
    <x v="2"/>
    <x v="16"/>
    <x v="1"/>
    <x v="3"/>
    <n v="1500"/>
    <n v="8"/>
    <n v="10"/>
    <n v="5"/>
    <n v="10800"/>
    <n v="9718.58"/>
    <n v="1081.42"/>
    <s v="NO"/>
    <x v="1"/>
    <x v="1"/>
  </r>
  <r>
    <s v="ORD00697"/>
    <x v="53"/>
    <x v="2"/>
    <x v="4"/>
    <x v="5"/>
    <x v="0"/>
    <x v="5"/>
    <n v="4500"/>
    <n v="7"/>
    <n v="5"/>
    <n v="25"/>
    <n v="29925"/>
    <n v="30393.81"/>
    <n v="-468.81000000000131"/>
    <s v="YES"/>
    <x v="0"/>
    <x v="2"/>
  </r>
  <r>
    <s v="ORD00698"/>
    <x v="158"/>
    <x v="1"/>
    <x v="4"/>
    <x v="23"/>
    <x v="0"/>
    <x v="12"/>
    <n v="7000"/>
    <n v="15"/>
    <n v="10"/>
    <n v="25"/>
    <n v="94500"/>
    <n v="86960.48"/>
    <n v="7539.5200000000041"/>
    <s v="YES"/>
    <x v="1"/>
    <x v="2"/>
  </r>
  <r>
    <s v="ORD00699"/>
    <x v="87"/>
    <x v="2"/>
    <x v="2"/>
    <x v="9"/>
    <x v="3"/>
    <x v="8"/>
    <n v="4000"/>
    <n v="3"/>
    <n v="15"/>
    <n v="15"/>
    <n v="10200"/>
    <n v="10046.36"/>
    <n v="153.63999999999942"/>
    <s v="NO"/>
    <x v="1"/>
    <x v="1"/>
  </r>
  <r>
    <s v="ORD00700"/>
    <x v="86"/>
    <x v="2"/>
    <x v="5"/>
    <x v="1"/>
    <x v="1"/>
    <x v="1"/>
    <n v="1800"/>
    <n v="10"/>
    <n v="5"/>
    <n v="10"/>
    <n v="17100"/>
    <n v="14661.53"/>
    <n v="2438.4699999999993"/>
    <s v="YES"/>
    <x v="1"/>
    <x v="2"/>
  </r>
  <r>
    <s v="ORD00701"/>
    <x v="139"/>
    <x v="2"/>
    <x v="5"/>
    <x v="17"/>
    <x v="1"/>
    <x v="1"/>
    <n v="1200"/>
    <n v="2"/>
    <n v="15"/>
    <n v="20"/>
    <n v="2040"/>
    <n v="2047.27"/>
    <n v="-7.2699999999999818"/>
    <s v="YES"/>
    <x v="0"/>
    <x v="2"/>
  </r>
  <r>
    <s v="ORD00702"/>
    <x v="110"/>
    <x v="2"/>
    <x v="1"/>
    <x v="22"/>
    <x v="0"/>
    <x v="10"/>
    <n v="35000"/>
    <n v="7"/>
    <n v="10"/>
    <n v="25"/>
    <n v="220500"/>
    <n v="192062.76"/>
    <n v="28437.239999999991"/>
    <s v="YES"/>
    <x v="1"/>
    <x v="2"/>
  </r>
  <r>
    <s v="ORD00703"/>
    <x v="60"/>
    <x v="3"/>
    <x v="4"/>
    <x v="10"/>
    <x v="1"/>
    <x v="9"/>
    <n v="1200"/>
    <n v="13"/>
    <n v="15"/>
    <n v="5"/>
    <n v="13260"/>
    <n v="12329.83"/>
    <n v="930.17000000000007"/>
    <s v="NO"/>
    <x v="1"/>
    <x v="1"/>
  </r>
  <r>
    <s v="ORD00704"/>
    <x v="53"/>
    <x v="1"/>
    <x v="3"/>
    <x v="17"/>
    <x v="1"/>
    <x v="1"/>
    <n v="1200"/>
    <n v="15"/>
    <n v="10"/>
    <n v="25"/>
    <n v="16200"/>
    <n v="16116.84"/>
    <n v="83.159999999999854"/>
    <s v="YES"/>
    <x v="1"/>
    <x v="2"/>
  </r>
  <r>
    <s v="ORD00705"/>
    <x v="135"/>
    <x v="3"/>
    <x v="4"/>
    <x v="22"/>
    <x v="0"/>
    <x v="10"/>
    <n v="35000"/>
    <n v="10"/>
    <n v="5"/>
    <n v="5"/>
    <n v="332500"/>
    <n v="284768.31"/>
    <n v="47731.69"/>
    <s v="NO"/>
    <x v="1"/>
    <x v="1"/>
  </r>
  <r>
    <s v="ORD00706"/>
    <x v="31"/>
    <x v="3"/>
    <x v="4"/>
    <x v="0"/>
    <x v="0"/>
    <x v="0"/>
    <n v="6000"/>
    <n v="14"/>
    <n v="15"/>
    <n v="10"/>
    <n v="71400"/>
    <n v="61541.25"/>
    <n v="9858.75"/>
    <s v="NO"/>
    <x v="1"/>
    <x v="1"/>
  </r>
  <r>
    <s v="ORD00707"/>
    <x v="153"/>
    <x v="0"/>
    <x v="1"/>
    <x v="13"/>
    <x v="0"/>
    <x v="12"/>
    <n v="8000"/>
    <n v="2"/>
    <n v="5"/>
    <n v="0"/>
    <n v="15200"/>
    <n v="13413.05"/>
    <n v="1786.9500000000007"/>
    <s v="NO"/>
    <x v="1"/>
    <x v="1"/>
  </r>
  <r>
    <s v="ORD00708"/>
    <x v="71"/>
    <x v="2"/>
    <x v="3"/>
    <x v="19"/>
    <x v="0"/>
    <x v="12"/>
    <n v="3500"/>
    <n v="1"/>
    <n v="5"/>
    <n v="10"/>
    <n v="3325"/>
    <n v="3252.02"/>
    <n v="72.980000000000018"/>
    <s v="YES"/>
    <x v="1"/>
    <x v="2"/>
  </r>
  <r>
    <s v="ORD00709"/>
    <x v="53"/>
    <x v="3"/>
    <x v="4"/>
    <x v="0"/>
    <x v="0"/>
    <x v="0"/>
    <n v="6000"/>
    <n v="10"/>
    <n v="5"/>
    <n v="0"/>
    <n v="57000"/>
    <n v="58435.72"/>
    <n v="-1435.7200000000012"/>
    <s v="NO"/>
    <x v="0"/>
    <x v="0"/>
  </r>
  <r>
    <s v="ORD00710"/>
    <x v="82"/>
    <x v="1"/>
    <x v="4"/>
    <x v="9"/>
    <x v="3"/>
    <x v="8"/>
    <n v="4000"/>
    <n v="2"/>
    <n v="15"/>
    <n v="20"/>
    <n v="6800"/>
    <n v="6770.51"/>
    <n v="29.489999999999782"/>
    <s v="YES"/>
    <x v="1"/>
    <x v="2"/>
  </r>
  <r>
    <s v="ORD00711"/>
    <x v="147"/>
    <x v="1"/>
    <x v="3"/>
    <x v="5"/>
    <x v="0"/>
    <x v="5"/>
    <n v="4500"/>
    <n v="9"/>
    <n v="5"/>
    <n v="20"/>
    <n v="38475"/>
    <n v="37457.33"/>
    <n v="1017.6699999999983"/>
    <s v="YES"/>
    <x v="1"/>
    <x v="2"/>
  </r>
  <r>
    <s v="ORD00712"/>
    <x v="107"/>
    <x v="3"/>
    <x v="3"/>
    <x v="11"/>
    <x v="0"/>
    <x v="10"/>
    <n v="60000"/>
    <n v="13"/>
    <n v="10"/>
    <n v="0"/>
    <n v="702000"/>
    <n v="632574.68000000005"/>
    <n v="69425.319999999949"/>
    <s v="NO"/>
    <x v="1"/>
    <x v="1"/>
  </r>
  <r>
    <s v="ORD00713"/>
    <x v="111"/>
    <x v="3"/>
    <x v="2"/>
    <x v="7"/>
    <x v="2"/>
    <x v="7"/>
    <n v="18000"/>
    <n v="10"/>
    <n v="10"/>
    <n v="25"/>
    <n v="162000"/>
    <n v="162003.74"/>
    <n v="-3.7399999999906868"/>
    <s v="YES"/>
    <x v="0"/>
    <x v="2"/>
  </r>
  <r>
    <s v="ORD00714"/>
    <x v="122"/>
    <x v="2"/>
    <x v="4"/>
    <x v="12"/>
    <x v="4"/>
    <x v="11"/>
    <n v="8000"/>
    <n v="15"/>
    <n v="5"/>
    <n v="15"/>
    <n v="114000"/>
    <n v="104894.36"/>
    <n v="9105.64"/>
    <s v="YES"/>
    <x v="1"/>
    <x v="2"/>
  </r>
  <r>
    <s v="ORD00715"/>
    <x v="172"/>
    <x v="3"/>
    <x v="2"/>
    <x v="0"/>
    <x v="0"/>
    <x v="0"/>
    <n v="6000"/>
    <n v="6"/>
    <n v="5"/>
    <n v="0"/>
    <n v="34200"/>
    <n v="29349.29"/>
    <n v="4850.7099999999991"/>
    <s v="NO"/>
    <x v="1"/>
    <x v="1"/>
  </r>
  <r>
    <s v="ORD00716"/>
    <x v="90"/>
    <x v="2"/>
    <x v="3"/>
    <x v="8"/>
    <x v="1"/>
    <x v="3"/>
    <n v="2800"/>
    <n v="6"/>
    <n v="10"/>
    <n v="15"/>
    <n v="15120"/>
    <n v="13996.2"/>
    <n v="1123.7999999999993"/>
    <s v="YES"/>
    <x v="1"/>
    <x v="2"/>
  </r>
  <r>
    <s v="ORD00717"/>
    <x v="116"/>
    <x v="3"/>
    <x v="3"/>
    <x v="20"/>
    <x v="6"/>
    <x v="14"/>
    <n v="12000"/>
    <n v="4"/>
    <n v="15"/>
    <n v="20"/>
    <n v="40800"/>
    <n v="36387.550000000003"/>
    <n v="4412.4499999999971"/>
    <s v="YES"/>
    <x v="1"/>
    <x v="2"/>
  </r>
  <r>
    <s v="ORD00718"/>
    <x v="85"/>
    <x v="3"/>
    <x v="1"/>
    <x v="19"/>
    <x v="0"/>
    <x v="12"/>
    <n v="3500"/>
    <n v="11"/>
    <n v="5"/>
    <n v="10"/>
    <n v="36575"/>
    <n v="33053.730000000003"/>
    <n v="3521.2699999999968"/>
    <s v="YES"/>
    <x v="1"/>
    <x v="2"/>
  </r>
  <r>
    <s v="ORD00719"/>
    <x v="28"/>
    <x v="1"/>
    <x v="3"/>
    <x v="12"/>
    <x v="4"/>
    <x v="11"/>
    <n v="8000"/>
    <n v="14"/>
    <n v="10"/>
    <n v="10"/>
    <n v="100800"/>
    <n v="104253.34"/>
    <n v="-3453.3399999999965"/>
    <s v="NO"/>
    <x v="0"/>
    <x v="0"/>
  </r>
  <r>
    <s v="ORD00720"/>
    <x v="28"/>
    <x v="0"/>
    <x v="2"/>
    <x v="4"/>
    <x v="2"/>
    <x v="4"/>
    <n v="15000"/>
    <n v="2"/>
    <n v="10"/>
    <n v="10"/>
    <n v="27000"/>
    <n v="27826.880000000001"/>
    <n v="-826.88000000000102"/>
    <s v="NO"/>
    <x v="0"/>
    <x v="0"/>
  </r>
  <r>
    <s v="ORD00721"/>
    <x v="134"/>
    <x v="3"/>
    <x v="2"/>
    <x v="18"/>
    <x v="5"/>
    <x v="13"/>
    <n v="18000"/>
    <n v="14"/>
    <n v="5"/>
    <n v="10"/>
    <n v="239400"/>
    <n v="240038.76"/>
    <n v="-638.76000000000931"/>
    <s v="YES"/>
    <x v="0"/>
    <x v="2"/>
  </r>
  <r>
    <s v="ORD00722"/>
    <x v="3"/>
    <x v="1"/>
    <x v="1"/>
    <x v="0"/>
    <x v="0"/>
    <x v="0"/>
    <n v="6000"/>
    <n v="15"/>
    <n v="5"/>
    <n v="20"/>
    <n v="85500"/>
    <n v="80451.039999999994"/>
    <n v="5048.9600000000064"/>
    <s v="YES"/>
    <x v="1"/>
    <x v="2"/>
  </r>
  <r>
    <s v="ORD00723"/>
    <x v="104"/>
    <x v="3"/>
    <x v="2"/>
    <x v="9"/>
    <x v="3"/>
    <x v="8"/>
    <n v="4000"/>
    <n v="2"/>
    <n v="10"/>
    <n v="0"/>
    <n v="7200"/>
    <n v="7353.19"/>
    <n v="-153.1899999999996"/>
    <s v="NO"/>
    <x v="0"/>
    <x v="0"/>
  </r>
  <r>
    <s v="ORD00724"/>
    <x v="145"/>
    <x v="3"/>
    <x v="2"/>
    <x v="6"/>
    <x v="2"/>
    <x v="6"/>
    <n v="4500"/>
    <n v="4"/>
    <n v="5"/>
    <n v="15"/>
    <n v="17100"/>
    <n v="16807.71"/>
    <n v="292.29000000000087"/>
    <s v="YES"/>
    <x v="1"/>
    <x v="2"/>
  </r>
  <r>
    <s v="ORD00725"/>
    <x v="94"/>
    <x v="3"/>
    <x v="4"/>
    <x v="6"/>
    <x v="2"/>
    <x v="6"/>
    <n v="4500"/>
    <n v="5"/>
    <n v="10"/>
    <n v="5"/>
    <n v="20250"/>
    <n v="18557.099999999999"/>
    <n v="1692.9000000000015"/>
    <s v="NO"/>
    <x v="1"/>
    <x v="1"/>
  </r>
  <r>
    <s v="ORD00726"/>
    <x v="78"/>
    <x v="1"/>
    <x v="4"/>
    <x v="4"/>
    <x v="2"/>
    <x v="4"/>
    <n v="15000"/>
    <n v="4"/>
    <n v="15"/>
    <n v="25"/>
    <n v="51000"/>
    <n v="43860.61"/>
    <n v="7139.3899999999994"/>
    <s v="YES"/>
    <x v="1"/>
    <x v="2"/>
  </r>
  <r>
    <s v="ORD00727"/>
    <x v="76"/>
    <x v="0"/>
    <x v="2"/>
    <x v="4"/>
    <x v="2"/>
    <x v="4"/>
    <n v="15000"/>
    <n v="11"/>
    <n v="15"/>
    <n v="5"/>
    <n v="140250"/>
    <n v="133681.26"/>
    <n v="6568.7399999999907"/>
    <s v="NO"/>
    <x v="1"/>
    <x v="1"/>
  </r>
  <r>
    <s v="ORD00728"/>
    <x v="80"/>
    <x v="3"/>
    <x v="4"/>
    <x v="23"/>
    <x v="0"/>
    <x v="12"/>
    <n v="7000"/>
    <n v="12"/>
    <n v="15"/>
    <n v="5"/>
    <n v="71400"/>
    <n v="66192.899999999994"/>
    <n v="5207.1000000000058"/>
    <s v="NO"/>
    <x v="1"/>
    <x v="1"/>
  </r>
  <r>
    <s v="ORD00729"/>
    <x v="131"/>
    <x v="3"/>
    <x v="4"/>
    <x v="15"/>
    <x v="2"/>
    <x v="6"/>
    <n v="2500"/>
    <n v="11"/>
    <n v="15"/>
    <n v="5"/>
    <n v="23375"/>
    <n v="20505.990000000002"/>
    <n v="2869.0099999999984"/>
    <s v="NO"/>
    <x v="1"/>
    <x v="1"/>
  </r>
  <r>
    <s v="ORD00730"/>
    <x v="105"/>
    <x v="1"/>
    <x v="5"/>
    <x v="12"/>
    <x v="4"/>
    <x v="11"/>
    <n v="8000"/>
    <n v="2"/>
    <n v="10"/>
    <n v="5"/>
    <n v="14400"/>
    <n v="14853.28"/>
    <n v="-453.28000000000065"/>
    <s v="NO"/>
    <x v="0"/>
    <x v="0"/>
  </r>
  <r>
    <s v="ORD00731"/>
    <x v="25"/>
    <x v="0"/>
    <x v="0"/>
    <x v="4"/>
    <x v="2"/>
    <x v="4"/>
    <n v="15000"/>
    <n v="5"/>
    <n v="15"/>
    <n v="10"/>
    <n v="63750"/>
    <n v="64218.07"/>
    <n v="-468.06999999999971"/>
    <s v="NO"/>
    <x v="0"/>
    <x v="0"/>
  </r>
  <r>
    <s v="ORD00732"/>
    <x v="150"/>
    <x v="3"/>
    <x v="0"/>
    <x v="0"/>
    <x v="0"/>
    <x v="0"/>
    <n v="6000"/>
    <n v="2"/>
    <n v="10"/>
    <n v="20"/>
    <n v="10800"/>
    <n v="10127.17"/>
    <n v="672.82999999999993"/>
    <s v="YES"/>
    <x v="1"/>
    <x v="2"/>
  </r>
  <r>
    <s v="ORD00733"/>
    <x v="53"/>
    <x v="1"/>
    <x v="5"/>
    <x v="4"/>
    <x v="2"/>
    <x v="4"/>
    <n v="15000"/>
    <n v="8"/>
    <n v="15"/>
    <n v="0"/>
    <n v="102000"/>
    <n v="105323.49"/>
    <n v="-3323.4900000000052"/>
    <s v="NO"/>
    <x v="0"/>
    <x v="0"/>
  </r>
  <r>
    <s v="ORD00734"/>
    <x v="169"/>
    <x v="1"/>
    <x v="4"/>
    <x v="3"/>
    <x v="1"/>
    <x v="3"/>
    <n v="500"/>
    <n v="3"/>
    <n v="10"/>
    <n v="15"/>
    <n v="1350"/>
    <n v="1383.16"/>
    <n v="-33.160000000000082"/>
    <s v="YES"/>
    <x v="0"/>
    <x v="2"/>
  </r>
  <r>
    <s v="ORD00735"/>
    <x v="41"/>
    <x v="0"/>
    <x v="0"/>
    <x v="9"/>
    <x v="3"/>
    <x v="8"/>
    <n v="4000"/>
    <n v="13"/>
    <n v="15"/>
    <n v="5"/>
    <n v="44200"/>
    <n v="40451.42"/>
    <n v="3748.5800000000017"/>
    <s v="NO"/>
    <x v="1"/>
    <x v="1"/>
  </r>
  <r>
    <s v="ORD00736"/>
    <x v="91"/>
    <x v="3"/>
    <x v="0"/>
    <x v="13"/>
    <x v="0"/>
    <x v="12"/>
    <n v="8000"/>
    <n v="9"/>
    <n v="10"/>
    <n v="15"/>
    <n v="64800"/>
    <n v="61239.51"/>
    <n v="3560.489999999998"/>
    <s v="YES"/>
    <x v="1"/>
    <x v="2"/>
  </r>
  <r>
    <s v="ORD00737"/>
    <x v="70"/>
    <x v="2"/>
    <x v="1"/>
    <x v="6"/>
    <x v="2"/>
    <x v="6"/>
    <n v="4500"/>
    <n v="12"/>
    <n v="15"/>
    <n v="25"/>
    <n v="45900"/>
    <n v="39800.58"/>
    <n v="6099.4199999999983"/>
    <s v="YES"/>
    <x v="1"/>
    <x v="2"/>
  </r>
  <r>
    <s v="ORD00738"/>
    <x v="78"/>
    <x v="3"/>
    <x v="1"/>
    <x v="4"/>
    <x v="2"/>
    <x v="4"/>
    <n v="15000"/>
    <n v="11"/>
    <n v="10"/>
    <n v="25"/>
    <n v="148500"/>
    <n v="142709.01"/>
    <n v="5790.9899999999907"/>
    <s v="YES"/>
    <x v="1"/>
    <x v="2"/>
  </r>
  <r>
    <s v="ORD00739"/>
    <x v="115"/>
    <x v="3"/>
    <x v="0"/>
    <x v="7"/>
    <x v="2"/>
    <x v="7"/>
    <n v="18000"/>
    <n v="10"/>
    <n v="10"/>
    <n v="20"/>
    <n v="162000"/>
    <n v="164922.94"/>
    <n v="-2922.9400000000023"/>
    <s v="YES"/>
    <x v="0"/>
    <x v="2"/>
  </r>
  <r>
    <s v="ORD00740"/>
    <x v="90"/>
    <x v="3"/>
    <x v="3"/>
    <x v="16"/>
    <x v="1"/>
    <x v="3"/>
    <n v="1500"/>
    <n v="8"/>
    <n v="15"/>
    <n v="5"/>
    <n v="10200"/>
    <n v="9608.67"/>
    <n v="591.32999999999993"/>
    <s v="NO"/>
    <x v="1"/>
    <x v="1"/>
  </r>
  <r>
    <s v="ORD00741"/>
    <x v="40"/>
    <x v="2"/>
    <x v="2"/>
    <x v="19"/>
    <x v="0"/>
    <x v="12"/>
    <n v="3500"/>
    <n v="1"/>
    <n v="10"/>
    <n v="10"/>
    <n v="3150"/>
    <n v="3221.88"/>
    <n v="-71.880000000000109"/>
    <s v="NO"/>
    <x v="0"/>
    <x v="0"/>
  </r>
  <r>
    <s v="ORD00742"/>
    <x v="54"/>
    <x v="0"/>
    <x v="0"/>
    <x v="14"/>
    <x v="1"/>
    <x v="2"/>
    <n v="6500"/>
    <n v="5"/>
    <n v="10"/>
    <n v="15"/>
    <n v="29250"/>
    <n v="28723.3"/>
    <n v="526.70000000000073"/>
    <s v="YES"/>
    <x v="1"/>
    <x v="2"/>
  </r>
  <r>
    <s v="ORD00743"/>
    <x v="97"/>
    <x v="3"/>
    <x v="0"/>
    <x v="6"/>
    <x v="2"/>
    <x v="6"/>
    <n v="4500"/>
    <n v="7"/>
    <n v="15"/>
    <n v="5"/>
    <n v="26775"/>
    <n v="26131.25"/>
    <n v="643.75"/>
    <s v="NO"/>
    <x v="1"/>
    <x v="1"/>
  </r>
  <r>
    <s v="ORD00744"/>
    <x v="157"/>
    <x v="0"/>
    <x v="3"/>
    <x v="22"/>
    <x v="0"/>
    <x v="10"/>
    <n v="35000"/>
    <n v="13"/>
    <n v="15"/>
    <n v="20"/>
    <n v="386750"/>
    <n v="400673.86"/>
    <n v="-13923.859999999986"/>
    <s v="YES"/>
    <x v="0"/>
    <x v="2"/>
  </r>
  <r>
    <s v="ORD00745"/>
    <x v="77"/>
    <x v="3"/>
    <x v="3"/>
    <x v="6"/>
    <x v="2"/>
    <x v="6"/>
    <n v="4500"/>
    <n v="9"/>
    <n v="5"/>
    <n v="10"/>
    <n v="38475"/>
    <n v="37019.97"/>
    <n v="1455.0299999999988"/>
    <s v="YES"/>
    <x v="1"/>
    <x v="2"/>
  </r>
  <r>
    <s v="ORD00746"/>
    <x v="32"/>
    <x v="0"/>
    <x v="5"/>
    <x v="3"/>
    <x v="1"/>
    <x v="3"/>
    <n v="500"/>
    <n v="13"/>
    <n v="15"/>
    <n v="5"/>
    <n v="5525"/>
    <n v="5371.61"/>
    <n v="153.39000000000033"/>
    <s v="NO"/>
    <x v="1"/>
    <x v="1"/>
  </r>
  <r>
    <s v="ORD00747"/>
    <x v="173"/>
    <x v="0"/>
    <x v="4"/>
    <x v="19"/>
    <x v="0"/>
    <x v="12"/>
    <n v="3500"/>
    <n v="3"/>
    <n v="5"/>
    <n v="5"/>
    <n v="9975"/>
    <n v="8670.2000000000007"/>
    <n v="1304.7999999999993"/>
    <s v="NO"/>
    <x v="1"/>
    <x v="1"/>
  </r>
  <r>
    <s v="ORD00748"/>
    <x v="110"/>
    <x v="2"/>
    <x v="0"/>
    <x v="20"/>
    <x v="6"/>
    <x v="14"/>
    <n v="12000"/>
    <n v="13"/>
    <n v="15"/>
    <n v="15"/>
    <n v="132600"/>
    <n v="115619.86"/>
    <n v="16980.14"/>
    <s v="NO"/>
    <x v="1"/>
    <x v="1"/>
  </r>
  <r>
    <s v="ORD00749"/>
    <x v="41"/>
    <x v="2"/>
    <x v="0"/>
    <x v="13"/>
    <x v="0"/>
    <x v="12"/>
    <n v="8000"/>
    <n v="2"/>
    <n v="5"/>
    <n v="15"/>
    <n v="15200"/>
    <n v="14555.25"/>
    <n v="644.75"/>
    <s v="YES"/>
    <x v="1"/>
    <x v="2"/>
  </r>
  <r>
    <s v="ORD00750"/>
    <x v="147"/>
    <x v="1"/>
    <x v="3"/>
    <x v="14"/>
    <x v="1"/>
    <x v="2"/>
    <n v="6500"/>
    <n v="5"/>
    <n v="10"/>
    <n v="15"/>
    <n v="29250"/>
    <n v="27764.1"/>
    <n v="1485.9000000000015"/>
    <s v="YES"/>
    <x v="1"/>
    <x v="2"/>
  </r>
  <r>
    <s v="ORD00751"/>
    <x v="1"/>
    <x v="3"/>
    <x v="4"/>
    <x v="9"/>
    <x v="3"/>
    <x v="8"/>
    <n v="4000"/>
    <n v="14"/>
    <n v="5"/>
    <n v="10"/>
    <n v="53200"/>
    <n v="53769.08"/>
    <n v="-569.08000000000175"/>
    <s v="YES"/>
    <x v="0"/>
    <x v="2"/>
  </r>
  <r>
    <s v="ORD00752"/>
    <x v="174"/>
    <x v="3"/>
    <x v="3"/>
    <x v="2"/>
    <x v="1"/>
    <x v="2"/>
    <n v="1200"/>
    <n v="3"/>
    <n v="10"/>
    <n v="5"/>
    <n v="3240"/>
    <n v="2755.05"/>
    <n v="484.94999999999982"/>
    <s v="NO"/>
    <x v="1"/>
    <x v="1"/>
  </r>
  <r>
    <s v="ORD00753"/>
    <x v="22"/>
    <x v="1"/>
    <x v="5"/>
    <x v="14"/>
    <x v="1"/>
    <x v="2"/>
    <n v="6500"/>
    <n v="1"/>
    <n v="10"/>
    <n v="0"/>
    <n v="5850"/>
    <n v="5069.82"/>
    <n v="780.18000000000029"/>
    <s v="NO"/>
    <x v="1"/>
    <x v="1"/>
  </r>
  <r>
    <s v="ORD00754"/>
    <x v="83"/>
    <x v="0"/>
    <x v="5"/>
    <x v="8"/>
    <x v="1"/>
    <x v="3"/>
    <n v="2800"/>
    <n v="11"/>
    <n v="10"/>
    <n v="15"/>
    <n v="27720"/>
    <n v="27646.25"/>
    <n v="73.75"/>
    <s v="YES"/>
    <x v="1"/>
    <x v="2"/>
  </r>
  <r>
    <s v="ORD00755"/>
    <x v="146"/>
    <x v="0"/>
    <x v="4"/>
    <x v="20"/>
    <x v="6"/>
    <x v="14"/>
    <n v="12000"/>
    <n v="11"/>
    <n v="10"/>
    <n v="0"/>
    <n v="118800"/>
    <n v="117864.28"/>
    <n v="935.72000000000116"/>
    <s v="NO"/>
    <x v="1"/>
    <x v="1"/>
  </r>
  <r>
    <s v="ORD00756"/>
    <x v="1"/>
    <x v="1"/>
    <x v="3"/>
    <x v="14"/>
    <x v="1"/>
    <x v="2"/>
    <n v="6500"/>
    <n v="4"/>
    <n v="5"/>
    <n v="20"/>
    <n v="24700"/>
    <n v="21068.78"/>
    <n v="3631.2200000000012"/>
    <s v="YES"/>
    <x v="1"/>
    <x v="2"/>
  </r>
  <r>
    <s v="ORD00757"/>
    <x v="97"/>
    <x v="0"/>
    <x v="5"/>
    <x v="18"/>
    <x v="5"/>
    <x v="13"/>
    <n v="18000"/>
    <n v="10"/>
    <n v="5"/>
    <n v="15"/>
    <n v="171000"/>
    <n v="154371.51"/>
    <n v="16628.489999999991"/>
    <s v="YES"/>
    <x v="1"/>
    <x v="2"/>
  </r>
  <r>
    <s v="ORD00758"/>
    <x v="116"/>
    <x v="1"/>
    <x v="0"/>
    <x v="15"/>
    <x v="2"/>
    <x v="6"/>
    <n v="2500"/>
    <n v="1"/>
    <n v="10"/>
    <n v="20"/>
    <n v="2250"/>
    <n v="2062.38"/>
    <n v="187.61999999999989"/>
    <s v="YES"/>
    <x v="1"/>
    <x v="2"/>
  </r>
  <r>
    <s v="ORD00759"/>
    <x v="8"/>
    <x v="2"/>
    <x v="2"/>
    <x v="1"/>
    <x v="1"/>
    <x v="1"/>
    <n v="1800"/>
    <n v="13"/>
    <n v="5"/>
    <n v="10"/>
    <n v="22230"/>
    <n v="22182.03"/>
    <n v="47.970000000001164"/>
    <s v="YES"/>
    <x v="1"/>
    <x v="2"/>
  </r>
  <r>
    <s v="ORD00760"/>
    <x v="16"/>
    <x v="3"/>
    <x v="4"/>
    <x v="4"/>
    <x v="2"/>
    <x v="4"/>
    <n v="15000"/>
    <n v="1"/>
    <n v="10"/>
    <n v="25"/>
    <n v="13500"/>
    <n v="12597.88"/>
    <n v="902.1200000000008"/>
    <s v="YES"/>
    <x v="1"/>
    <x v="2"/>
  </r>
  <r>
    <s v="ORD00761"/>
    <x v="107"/>
    <x v="2"/>
    <x v="4"/>
    <x v="13"/>
    <x v="0"/>
    <x v="12"/>
    <n v="8000"/>
    <n v="4"/>
    <n v="10"/>
    <n v="10"/>
    <n v="28800"/>
    <n v="28145.87"/>
    <n v="654.13000000000102"/>
    <s v="NO"/>
    <x v="1"/>
    <x v="1"/>
  </r>
  <r>
    <s v="ORD00762"/>
    <x v="9"/>
    <x v="0"/>
    <x v="5"/>
    <x v="22"/>
    <x v="0"/>
    <x v="10"/>
    <n v="35000"/>
    <n v="15"/>
    <n v="15"/>
    <n v="10"/>
    <n v="446250"/>
    <n v="391983.33"/>
    <n v="54266.669999999984"/>
    <s v="NO"/>
    <x v="1"/>
    <x v="1"/>
  </r>
  <r>
    <s v="ORD00763"/>
    <x v="51"/>
    <x v="1"/>
    <x v="3"/>
    <x v="0"/>
    <x v="0"/>
    <x v="0"/>
    <n v="6000"/>
    <n v="7"/>
    <n v="5"/>
    <n v="25"/>
    <n v="39900"/>
    <n v="37371.629999999997"/>
    <n v="2528.3700000000026"/>
    <s v="YES"/>
    <x v="1"/>
    <x v="2"/>
  </r>
  <r>
    <s v="ORD00764"/>
    <x v="13"/>
    <x v="1"/>
    <x v="1"/>
    <x v="4"/>
    <x v="2"/>
    <x v="4"/>
    <n v="15000"/>
    <n v="10"/>
    <n v="15"/>
    <n v="15"/>
    <n v="127500"/>
    <n v="132875.79"/>
    <n v="-5375.7900000000081"/>
    <s v="NO"/>
    <x v="0"/>
    <x v="0"/>
  </r>
  <r>
    <s v="ORD00765"/>
    <x v="48"/>
    <x v="3"/>
    <x v="4"/>
    <x v="21"/>
    <x v="6"/>
    <x v="14"/>
    <n v="3500"/>
    <n v="11"/>
    <n v="10"/>
    <n v="10"/>
    <n v="34650"/>
    <n v="30934.5"/>
    <n v="3715.5"/>
    <s v="NO"/>
    <x v="1"/>
    <x v="1"/>
  </r>
  <r>
    <s v="ORD00766"/>
    <x v="170"/>
    <x v="1"/>
    <x v="0"/>
    <x v="19"/>
    <x v="0"/>
    <x v="12"/>
    <n v="3500"/>
    <n v="10"/>
    <n v="10"/>
    <n v="10"/>
    <n v="31500"/>
    <n v="30255.49"/>
    <n v="1244.5099999999984"/>
    <s v="NO"/>
    <x v="1"/>
    <x v="1"/>
  </r>
  <r>
    <s v="ORD00767"/>
    <x v="115"/>
    <x v="0"/>
    <x v="3"/>
    <x v="0"/>
    <x v="0"/>
    <x v="0"/>
    <n v="6000"/>
    <n v="6"/>
    <n v="5"/>
    <n v="15"/>
    <n v="34200"/>
    <n v="30557.21"/>
    <n v="3642.7900000000009"/>
    <s v="YES"/>
    <x v="1"/>
    <x v="2"/>
  </r>
  <r>
    <s v="ORD00768"/>
    <x v="35"/>
    <x v="0"/>
    <x v="4"/>
    <x v="10"/>
    <x v="1"/>
    <x v="9"/>
    <n v="1200"/>
    <n v="7"/>
    <n v="15"/>
    <n v="5"/>
    <n v="7140"/>
    <n v="6666.96"/>
    <n v="473.03999999999996"/>
    <s v="NO"/>
    <x v="1"/>
    <x v="1"/>
  </r>
  <r>
    <s v="ORD00769"/>
    <x v="40"/>
    <x v="0"/>
    <x v="2"/>
    <x v="11"/>
    <x v="0"/>
    <x v="10"/>
    <n v="60000"/>
    <n v="6"/>
    <n v="15"/>
    <n v="15"/>
    <n v="306000"/>
    <n v="274632.18"/>
    <n v="31367.820000000007"/>
    <s v="NO"/>
    <x v="1"/>
    <x v="1"/>
  </r>
  <r>
    <s v="ORD00770"/>
    <x v="5"/>
    <x v="3"/>
    <x v="4"/>
    <x v="2"/>
    <x v="1"/>
    <x v="2"/>
    <n v="1200"/>
    <n v="7"/>
    <n v="15"/>
    <n v="5"/>
    <n v="7140"/>
    <n v="6310.86"/>
    <n v="829.14000000000033"/>
    <s v="NO"/>
    <x v="1"/>
    <x v="1"/>
  </r>
  <r>
    <s v="ORD00771"/>
    <x v="157"/>
    <x v="1"/>
    <x v="1"/>
    <x v="23"/>
    <x v="0"/>
    <x v="12"/>
    <n v="7000"/>
    <n v="15"/>
    <n v="10"/>
    <n v="10"/>
    <n v="94500"/>
    <n v="85637.77"/>
    <n v="8862.2299999999959"/>
    <s v="NO"/>
    <x v="1"/>
    <x v="1"/>
  </r>
  <r>
    <s v="ORD00772"/>
    <x v="60"/>
    <x v="2"/>
    <x v="0"/>
    <x v="18"/>
    <x v="5"/>
    <x v="13"/>
    <n v="18000"/>
    <n v="9"/>
    <n v="10"/>
    <n v="20"/>
    <n v="145800"/>
    <n v="140709.93"/>
    <n v="5090.070000000007"/>
    <s v="YES"/>
    <x v="1"/>
    <x v="2"/>
  </r>
  <r>
    <s v="ORD00773"/>
    <x v="80"/>
    <x v="1"/>
    <x v="5"/>
    <x v="14"/>
    <x v="1"/>
    <x v="2"/>
    <n v="6500"/>
    <n v="12"/>
    <n v="10"/>
    <n v="5"/>
    <n v="70200"/>
    <n v="61600.36"/>
    <n v="8599.64"/>
    <s v="NO"/>
    <x v="1"/>
    <x v="1"/>
  </r>
  <r>
    <s v="ORD00774"/>
    <x v="79"/>
    <x v="3"/>
    <x v="5"/>
    <x v="14"/>
    <x v="1"/>
    <x v="2"/>
    <n v="6500"/>
    <n v="15"/>
    <n v="10"/>
    <n v="5"/>
    <n v="87750"/>
    <n v="85983.55"/>
    <n v="1766.4499999999971"/>
    <s v="NO"/>
    <x v="1"/>
    <x v="1"/>
  </r>
  <r>
    <s v="ORD00775"/>
    <x v="38"/>
    <x v="0"/>
    <x v="3"/>
    <x v="0"/>
    <x v="0"/>
    <x v="0"/>
    <n v="6000"/>
    <n v="3"/>
    <n v="5"/>
    <n v="20"/>
    <n v="17100"/>
    <n v="14819.91"/>
    <n v="2280.09"/>
    <s v="YES"/>
    <x v="1"/>
    <x v="2"/>
  </r>
  <r>
    <s v="ORD00776"/>
    <x v="149"/>
    <x v="3"/>
    <x v="5"/>
    <x v="7"/>
    <x v="2"/>
    <x v="7"/>
    <n v="18000"/>
    <n v="6"/>
    <n v="5"/>
    <n v="5"/>
    <n v="102600"/>
    <n v="102834.22"/>
    <n v="-234.22000000000116"/>
    <s v="NO"/>
    <x v="0"/>
    <x v="0"/>
  </r>
  <r>
    <s v="ORD00777"/>
    <x v="28"/>
    <x v="1"/>
    <x v="5"/>
    <x v="4"/>
    <x v="2"/>
    <x v="4"/>
    <n v="15000"/>
    <n v="9"/>
    <n v="10"/>
    <n v="15"/>
    <n v="121500"/>
    <n v="117099.13"/>
    <n v="4400.8699999999953"/>
    <s v="YES"/>
    <x v="1"/>
    <x v="2"/>
  </r>
  <r>
    <s v="ORD00778"/>
    <x v="65"/>
    <x v="0"/>
    <x v="4"/>
    <x v="20"/>
    <x v="6"/>
    <x v="14"/>
    <n v="12000"/>
    <n v="13"/>
    <n v="10"/>
    <n v="5"/>
    <n v="140400"/>
    <n v="139873.17000000001"/>
    <n v="526.82999999998719"/>
    <s v="NO"/>
    <x v="1"/>
    <x v="1"/>
  </r>
  <r>
    <s v="ORD00779"/>
    <x v="137"/>
    <x v="2"/>
    <x v="5"/>
    <x v="15"/>
    <x v="2"/>
    <x v="6"/>
    <n v="2500"/>
    <n v="5"/>
    <n v="5"/>
    <n v="25"/>
    <n v="11875"/>
    <n v="11437.2"/>
    <n v="437.79999999999927"/>
    <s v="YES"/>
    <x v="1"/>
    <x v="2"/>
  </r>
  <r>
    <s v="ORD00780"/>
    <x v="2"/>
    <x v="3"/>
    <x v="1"/>
    <x v="11"/>
    <x v="0"/>
    <x v="10"/>
    <n v="60000"/>
    <n v="11"/>
    <n v="15"/>
    <n v="5"/>
    <n v="561000"/>
    <n v="518229.66"/>
    <n v="42770.340000000026"/>
    <s v="NO"/>
    <x v="1"/>
    <x v="1"/>
  </r>
  <r>
    <s v="ORD00781"/>
    <x v="105"/>
    <x v="2"/>
    <x v="0"/>
    <x v="20"/>
    <x v="6"/>
    <x v="14"/>
    <n v="12000"/>
    <n v="12"/>
    <n v="10"/>
    <n v="20"/>
    <n v="129600"/>
    <n v="128745.51"/>
    <n v="854.49000000000524"/>
    <s v="YES"/>
    <x v="1"/>
    <x v="2"/>
  </r>
  <r>
    <s v="ORD00782"/>
    <x v="26"/>
    <x v="3"/>
    <x v="2"/>
    <x v="20"/>
    <x v="6"/>
    <x v="14"/>
    <n v="12000"/>
    <n v="2"/>
    <n v="15"/>
    <n v="0"/>
    <n v="20400"/>
    <n v="19326.580000000002"/>
    <n v="1073.4199999999983"/>
    <s v="NO"/>
    <x v="1"/>
    <x v="1"/>
  </r>
  <r>
    <s v="ORD00783"/>
    <x v="72"/>
    <x v="1"/>
    <x v="5"/>
    <x v="7"/>
    <x v="2"/>
    <x v="7"/>
    <n v="18000"/>
    <n v="15"/>
    <n v="10"/>
    <n v="0"/>
    <n v="243000"/>
    <n v="211903.38"/>
    <n v="31096.619999999995"/>
    <s v="NO"/>
    <x v="1"/>
    <x v="1"/>
  </r>
  <r>
    <s v="ORD00784"/>
    <x v="76"/>
    <x v="0"/>
    <x v="3"/>
    <x v="10"/>
    <x v="1"/>
    <x v="9"/>
    <n v="1200"/>
    <n v="13"/>
    <n v="10"/>
    <n v="0"/>
    <n v="14040"/>
    <n v="12620.29"/>
    <n v="1419.7099999999991"/>
    <s v="NO"/>
    <x v="1"/>
    <x v="1"/>
  </r>
  <r>
    <s v="ORD00785"/>
    <x v="26"/>
    <x v="0"/>
    <x v="2"/>
    <x v="6"/>
    <x v="2"/>
    <x v="6"/>
    <n v="4500"/>
    <n v="7"/>
    <n v="15"/>
    <n v="10"/>
    <n v="26775"/>
    <n v="25249.33"/>
    <n v="1525.6699999999983"/>
    <s v="NO"/>
    <x v="1"/>
    <x v="1"/>
  </r>
  <r>
    <s v="ORD00786"/>
    <x v="75"/>
    <x v="3"/>
    <x v="0"/>
    <x v="15"/>
    <x v="2"/>
    <x v="6"/>
    <n v="2500"/>
    <n v="15"/>
    <n v="15"/>
    <n v="0"/>
    <n v="31875"/>
    <n v="29998.79"/>
    <n v="1876.2099999999991"/>
    <s v="NO"/>
    <x v="1"/>
    <x v="1"/>
  </r>
  <r>
    <s v="ORD00787"/>
    <x v="55"/>
    <x v="3"/>
    <x v="1"/>
    <x v="18"/>
    <x v="5"/>
    <x v="13"/>
    <n v="18000"/>
    <n v="14"/>
    <n v="15"/>
    <n v="25"/>
    <n v="214200"/>
    <n v="216527.93"/>
    <n v="-2327.929999999993"/>
    <s v="YES"/>
    <x v="0"/>
    <x v="2"/>
  </r>
  <r>
    <s v="ORD00788"/>
    <x v="162"/>
    <x v="0"/>
    <x v="4"/>
    <x v="3"/>
    <x v="1"/>
    <x v="3"/>
    <n v="500"/>
    <n v="14"/>
    <n v="5"/>
    <n v="10"/>
    <n v="6650"/>
    <n v="6154.02"/>
    <n v="495.97999999999956"/>
    <s v="YES"/>
    <x v="1"/>
    <x v="2"/>
  </r>
  <r>
    <s v="ORD00789"/>
    <x v="91"/>
    <x v="3"/>
    <x v="5"/>
    <x v="1"/>
    <x v="1"/>
    <x v="1"/>
    <n v="1800"/>
    <n v="15"/>
    <n v="5"/>
    <n v="15"/>
    <n v="25650"/>
    <n v="26718.75"/>
    <n v="-1068.75"/>
    <s v="YES"/>
    <x v="0"/>
    <x v="2"/>
  </r>
  <r>
    <s v="ORD00790"/>
    <x v="6"/>
    <x v="3"/>
    <x v="2"/>
    <x v="8"/>
    <x v="1"/>
    <x v="3"/>
    <n v="2800"/>
    <n v="7"/>
    <n v="15"/>
    <n v="10"/>
    <n v="16660"/>
    <n v="14568.11"/>
    <n v="2091.8899999999994"/>
    <s v="NO"/>
    <x v="1"/>
    <x v="1"/>
  </r>
  <r>
    <s v="ORD00791"/>
    <x v="92"/>
    <x v="3"/>
    <x v="5"/>
    <x v="8"/>
    <x v="1"/>
    <x v="3"/>
    <n v="2800"/>
    <n v="6"/>
    <n v="15"/>
    <n v="0"/>
    <n v="14280"/>
    <n v="12305.2"/>
    <n v="1974.7999999999993"/>
    <s v="NO"/>
    <x v="1"/>
    <x v="1"/>
  </r>
  <r>
    <s v="ORD00792"/>
    <x v="104"/>
    <x v="0"/>
    <x v="5"/>
    <x v="14"/>
    <x v="1"/>
    <x v="2"/>
    <n v="6500"/>
    <n v="2"/>
    <n v="15"/>
    <n v="15"/>
    <n v="11050"/>
    <n v="10736.27"/>
    <n v="313.72999999999956"/>
    <s v="NO"/>
    <x v="1"/>
    <x v="1"/>
  </r>
  <r>
    <s v="ORD00793"/>
    <x v="89"/>
    <x v="1"/>
    <x v="5"/>
    <x v="13"/>
    <x v="0"/>
    <x v="12"/>
    <n v="8000"/>
    <n v="6"/>
    <n v="5"/>
    <n v="0"/>
    <n v="45600"/>
    <n v="42545.25"/>
    <n v="3054.75"/>
    <s v="NO"/>
    <x v="1"/>
    <x v="1"/>
  </r>
  <r>
    <s v="ORD00794"/>
    <x v="43"/>
    <x v="0"/>
    <x v="3"/>
    <x v="17"/>
    <x v="1"/>
    <x v="1"/>
    <n v="1200"/>
    <n v="7"/>
    <n v="15"/>
    <n v="25"/>
    <n v="7140"/>
    <n v="6318.5"/>
    <n v="821.5"/>
    <s v="YES"/>
    <x v="1"/>
    <x v="2"/>
  </r>
  <r>
    <s v="ORD00795"/>
    <x v="78"/>
    <x v="2"/>
    <x v="1"/>
    <x v="4"/>
    <x v="2"/>
    <x v="4"/>
    <n v="15000"/>
    <n v="13"/>
    <n v="5"/>
    <n v="25"/>
    <n v="185250"/>
    <n v="177143.6"/>
    <n v="8106.3999999999942"/>
    <s v="YES"/>
    <x v="1"/>
    <x v="2"/>
  </r>
  <r>
    <s v="ORD00796"/>
    <x v="77"/>
    <x v="1"/>
    <x v="0"/>
    <x v="11"/>
    <x v="0"/>
    <x v="10"/>
    <n v="60000"/>
    <n v="3"/>
    <n v="10"/>
    <n v="5"/>
    <n v="162000"/>
    <n v="155349.51"/>
    <n v="6650.4899999999907"/>
    <s v="NO"/>
    <x v="1"/>
    <x v="1"/>
  </r>
  <r>
    <s v="ORD00797"/>
    <x v="129"/>
    <x v="0"/>
    <x v="2"/>
    <x v="11"/>
    <x v="0"/>
    <x v="10"/>
    <n v="60000"/>
    <n v="2"/>
    <n v="15"/>
    <n v="15"/>
    <n v="102000"/>
    <n v="89756.32"/>
    <n v="12243.679999999993"/>
    <s v="NO"/>
    <x v="1"/>
    <x v="1"/>
  </r>
  <r>
    <s v="ORD00798"/>
    <x v="20"/>
    <x v="1"/>
    <x v="2"/>
    <x v="13"/>
    <x v="0"/>
    <x v="12"/>
    <n v="8000"/>
    <n v="8"/>
    <n v="15"/>
    <n v="15"/>
    <n v="54400"/>
    <n v="51457.08"/>
    <n v="2942.9199999999983"/>
    <s v="NO"/>
    <x v="1"/>
    <x v="1"/>
  </r>
  <r>
    <s v="ORD00799"/>
    <x v="49"/>
    <x v="2"/>
    <x v="1"/>
    <x v="5"/>
    <x v="0"/>
    <x v="5"/>
    <n v="4500"/>
    <n v="15"/>
    <n v="15"/>
    <n v="20"/>
    <n v="57375"/>
    <n v="51988.07"/>
    <n v="5386.93"/>
    <s v="YES"/>
    <x v="1"/>
    <x v="2"/>
  </r>
  <r>
    <s v="ORD00800"/>
    <x v="124"/>
    <x v="0"/>
    <x v="5"/>
    <x v="17"/>
    <x v="1"/>
    <x v="1"/>
    <n v="1200"/>
    <n v="5"/>
    <n v="5"/>
    <n v="5"/>
    <n v="5700"/>
    <n v="5871.53"/>
    <n v="-171.52999999999975"/>
    <s v="NO"/>
    <x v="0"/>
    <x v="0"/>
  </r>
  <r>
    <s v="ORD00801"/>
    <x v="170"/>
    <x v="0"/>
    <x v="5"/>
    <x v="12"/>
    <x v="4"/>
    <x v="11"/>
    <n v="8000"/>
    <n v="2"/>
    <n v="5"/>
    <n v="15"/>
    <n v="15200"/>
    <n v="15226.86"/>
    <n v="-26.860000000000582"/>
    <s v="YES"/>
    <x v="0"/>
    <x v="2"/>
  </r>
  <r>
    <s v="ORD00802"/>
    <x v="126"/>
    <x v="1"/>
    <x v="1"/>
    <x v="16"/>
    <x v="1"/>
    <x v="3"/>
    <n v="1500"/>
    <n v="8"/>
    <n v="15"/>
    <n v="15"/>
    <n v="10200"/>
    <n v="9457.86"/>
    <n v="742.13999999999942"/>
    <s v="NO"/>
    <x v="1"/>
    <x v="1"/>
  </r>
  <r>
    <s v="ORD00803"/>
    <x v="95"/>
    <x v="3"/>
    <x v="3"/>
    <x v="20"/>
    <x v="6"/>
    <x v="14"/>
    <n v="12000"/>
    <n v="6"/>
    <n v="15"/>
    <n v="10"/>
    <n v="61200"/>
    <n v="54441.86"/>
    <n v="6758.1399999999994"/>
    <s v="NO"/>
    <x v="1"/>
    <x v="1"/>
  </r>
  <r>
    <s v="ORD00804"/>
    <x v="18"/>
    <x v="2"/>
    <x v="1"/>
    <x v="21"/>
    <x v="6"/>
    <x v="14"/>
    <n v="3500"/>
    <n v="8"/>
    <n v="5"/>
    <n v="5"/>
    <n v="26600"/>
    <n v="26190.09"/>
    <n v="409.90999999999985"/>
    <s v="NO"/>
    <x v="1"/>
    <x v="1"/>
  </r>
  <r>
    <s v="ORD00805"/>
    <x v="0"/>
    <x v="1"/>
    <x v="0"/>
    <x v="15"/>
    <x v="2"/>
    <x v="6"/>
    <n v="2500"/>
    <n v="2"/>
    <n v="5"/>
    <n v="0"/>
    <n v="4750"/>
    <n v="4661.29"/>
    <n v="88.710000000000036"/>
    <s v="NO"/>
    <x v="1"/>
    <x v="1"/>
  </r>
  <r>
    <s v="ORD00806"/>
    <x v="175"/>
    <x v="1"/>
    <x v="1"/>
    <x v="14"/>
    <x v="1"/>
    <x v="2"/>
    <n v="6500"/>
    <n v="6"/>
    <n v="15"/>
    <n v="25"/>
    <n v="33150"/>
    <n v="30659.3"/>
    <n v="2490.7000000000007"/>
    <s v="YES"/>
    <x v="1"/>
    <x v="2"/>
  </r>
  <r>
    <s v="ORD00807"/>
    <x v="121"/>
    <x v="3"/>
    <x v="2"/>
    <x v="1"/>
    <x v="1"/>
    <x v="1"/>
    <n v="1800"/>
    <n v="12"/>
    <n v="10"/>
    <n v="25"/>
    <n v="19440"/>
    <n v="18735.169999999998"/>
    <n v="704.83000000000175"/>
    <s v="YES"/>
    <x v="1"/>
    <x v="2"/>
  </r>
  <r>
    <s v="ORD00808"/>
    <x v="61"/>
    <x v="3"/>
    <x v="4"/>
    <x v="10"/>
    <x v="1"/>
    <x v="9"/>
    <n v="1200"/>
    <n v="1"/>
    <n v="15"/>
    <n v="5"/>
    <n v="1020"/>
    <n v="897.53"/>
    <n v="122.47000000000003"/>
    <s v="NO"/>
    <x v="1"/>
    <x v="1"/>
  </r>
  <r>
    <s v="ORD00809"/>
    <x v="96"/>
    <x v="0"/>
    <x v="1"/>
    <x v="13"/>
    <x v="0"/>
    <x v="12"/>
    <n v="8000"/>
    <n v="4"/>
    <n v="10"/>
    <n v="25"/>
    <n v="28800"/>
    <n v="25518.51"/>
    <n v="3281.4900000000016"/>
    <s v="YES"/>
    <x v="1"/>
    <x v="2"/>
  </r>
  <r>
    <s v="ORD00810"/>
    <x v="80"/>
    <x v="3"/>
    <x v="2"/>
    <x v="20"/>
    <x v="6"/>
    <x v="14"/>
    <n v="12000"/>
    <n v="6"/>
    <n v="5"/>
    <n v="25"/>
    <n v="68400"/>
    <n v="63878.79"/>
    <n v="4521.2099999999991"/>
    <s v="YES"/>
    <x v="1"/>
    <x v="2"/>
  </r>
  <r>
    <s v="ORD00811"/>
    <x v="110"/>
    <x v="2"/>
    <x v="3"/>
    <x v="21"/>
    <x v="6"/>
    <x v="14"/>
    <n v="3500"/>
    <n v="9"/>
    <n v="5"/>
    <n v="20"/>
    <n v="29925"/>
    <n v="28837.84"/>
    <n v="1087.1599999999999"/>
    <s v="YES"/>
    <x v="1"/>
    <x v="2"/>
  </r>
  <r>
    <s v="ORD00812"/>
    <x v="124"/>
    <x v="1"/>
    <x v="1"/>
    <x v="9"/>
    <x v="3"/>
    <x v="8"/>
    <n v="4000"/>
    <n v="9"/>
    <n v="10"/>
    <n v="25"/>
    <n v="32400"/>
    <n v="27713.47"/>
    <n v="4686.5299999999988"/>
    <s v="YES"/>
    <x v="1"/>
    <x v="2"/>
  </r>
  <r>
    <s v="ORD00813"/>
    <x v="167"/>
    <x v="1"/>
    <x v="1"/>
    <x v="9"/>
    <x v="3"/>
    <x v="8"/>
    <n v="4000"/>
    <n v="14"/>
    <n v="10"/>
    <n v="0"/>
    <n v="50400"/>
    <n v="50791.62"/>
    <n v="-391.62000000000262"/>
    <s v="NO"/>
    <x v="0"/>
    <x v="0"/>
  </r>
  <r>
    <s v="ORD00814"/>
    <x v="136"/>
    <x v="3"/>
    <x v="1"/>
    <x v="23"/>
    <x v="0"/>
    <x v="12"/>
    <n v="7000"/>
    <n v="11"/>
    <n v="10"/>
    <n v="10"/>
    <n v="69300"/>
    <n v="72036.47"/>
    <n v="-2736.4700000000012"/>
    <s v="NO"/>
    <x v="0"/>
    <x v="0"/>
  </r>
  <r>
    <s v="ORD00815"/>
    <x v="88"/>
    <x v="3"/>
    <x v="2"/>
    <x v="20"/>
    <x v="6"/>
    <x v="14"/>
    <n v="12000"/>
    <n v="10"/>
    <n v="15"/>
    <n v="20"/>
    <n v="102000"/>
    <n v="103200.57"/>
    <n v="-1200.570000000007"/>
    <s v="YES"/>
    <x v="0"/>
    <x v="2"/>
  </r>
  <r>
    <s v="ORD00816"/>
    <x v="121"/>
    <x v="2"/>
    <x v="4"/>
    <x v="10"/>
    <x v="1"/>
    <x v="9"/>
    <n v="1200"/>
    <n v="7"/>
    <n v="10"/>
    <n v="5"/>
    <n v="7560"/>
    <n v="6775.91"/>
    <n v="784.09000000000015"/>
    <s v="NO"/>
    <x v="1"/>
    <x v="1"/>
  </r>
  <r>
    <s v="ORD00817"/>
    <x v="176"/>
    <x v="0"/>
    <x v="4"/>
    <x v="0"/>
    <x v="0"/>
    <x v="0"/>
    <n v="6000"/>
    <n v="9"/>
    <n v="15"/>
    <n v="0"/>
    <n v="45900"/>
    <n v="47078.32"/>
    <n v="-1178.3199999999997"/>
    <s v="NO"/>
    <x v="0"/>
    <x v="0"/>
  </r>
  <r>
    <s v="ORD00818"/>
    <x v="140"/>
    <x v="2"/>
    <x v="1"/>
    <x v="17"/>
    <x v="1"/>
    <x v="1"/>
    <n v="1200"/>
    <n v="4"/>
    <n v="10"/>
    <n v="20"/>
    <n v="4320"/>
    <n v="4449.0200000000004"/>
    <n v="-129.02000000000044"/>
    <s v="YES"/>
    <x v="0"/>
    <x v="2"/>
  </r>
  <r>
    <s v="ORD00819"/>
    <x v="142"/>
    <x v="0"/>
    <x v="0"/>
    <x v="4"/>
    <x v="2"/>
    <x v="4"/>
    <n v="15000"/>
    <n v="3"/>
    <n v="5"/>
    <n v="5"/>
    <n v="42750"/>
    <n v="36733.54"/>
    <n v="6016.4599999999991"/>
    <s v="NO"/>
    <x v="1"/>
    <x v="1"/>
  </r>
  <r>
    <s v="ORD00820"/>
    <x v="172"/>
    <x v="0"/>
    <x v="1"/>
    <x v="14"/>
    <x v="1"/>
    <x v="2"/>
    <n v="6500"/>
    <n v="15"/>
    <n v="5"/>
    <n v="25"/>
    <n v="92625"/>
    <n v="78857.91"/>
    <n v="13767.089999999997"/>
    <s v="YES"/>
    <x v="1"/>
    <x v="2"/>
  </r>
  <r>
    <s v="ORD00821"/>
    <x v="16"/>
    <x v="2"/>
    <x v="1"/>
    <x v="7"/>
    <x v="2"/>
    <x v="7"/>
    <n v="18000"/>
    <n v="9"/>
    <n v="10"/>
    <n v="20"/>
    <n v="145800"/>
    <n v="135359.45000000001"/>
    <n v="10440.549999999988"/>
    <s v="YES"/>
    <x v="1"/>
    <x v="2"/>
  </r>
  <r>
    <s v="ORD00822"/>
    <x v="71"/>
    <x v="0"/>
    <x v="1"/>
    <x v="7"/>
    <x v="2"/>
    <x v="7"/>
    <n v="18000"/>
    <n v="12"/>
    <n v="10"/>
    <n v="10"/>
    <n v="194400"/>
    <n v="197292.9"/>
    <n v="-2892.8999999999942"/>
    <s v="NO"/>
    <x v="0"/>
    <x v="0"/>
  </r>
  <r>
    <s v="ORD00823"/>
    <x v="119"/>
    <x v="2"/>
    <x v="5"/>
    <x v="20"/>
    <x v="6"/>
    <x v="14"/>
    <n v="12000"/>
    <n v="13"/>
    <n v="5"/>
    <n v="15"/>
    <n v="148200"/>
    <n v="147556.03"/>
    <n v="643.97000000000116"/>
    <s v="YES"/>
    <x v="1"/>
    <x v="2"/>
  </r>
  <r>
    <s v="ORD00824"/>
    <x v="55"/>
    <x v="0"/>
    <x v="1"/>
    <x v="22"/>
    <x v="0"/>
    <x v="10"/>
    <n v="35000"/>
    <n v="11"/>
    <n v="10"/>
    <n v="15"/>
    <n v="346500"/>
    <n v="349408.58"/>
    <n v="-2908.5800000000163"/>
    <s v="YES"/>
    <x v="0"/>
    <x v="2"/>
  </r>
  <r>
    <s v="ORD00825"/>
    <x v="141"/>
    <x v="0"/>
    <x v="2"/>
    <x v="16"/>
    <x v="1"/>
    <x v="3"/>
    <n v="1500"/>
    <n v="4"/>
    <n v="5"/>
    <n v="0"/>
    <n v="5700"/>
    <n v="5705.52"/>
    <n v="-5.5200000000004366"/>
    <s v="NO"/>
    <x v="0"/>
    <x v="0"/>
  </r>
  <r>
    <s v="ORD00826"/>
    <x v="74"/>
    <x v="1"/>
    <x v="0"/>
    <x v="21"/>
    <x v="6"/>
    <x v="14"/>
    <n v="3500"/>
    <n v="6"/>
    <n v="15"/>
    <n v="25"/>
    <n v="17850"/>
    <n v="18017.939999999999"/>
    <n v="-167.93999999999869"/>
    <s v="YES"/>
    <x v="0"/>
    <x v="2"/>
  </r>
  <r>
    <s v="ORD00827"/>
    <x v="21"/>
    <x v="1"/>
    <x v="0"/>
    <x v="10"/>
    <x v="1"/>
    <x v="9"/>
    <n v="1200"/>
    <n v="12"/>
    <n v="5"/>
    <n v="25"/>
    <n v="13680"/>
    <n v="12720.8"/>
    <n v="959.20000000000073"/>
    <s v="YES"/>
    <x v="1"/>
    <x v="2"/>
  </r>
  <r>
    <s v="ORD00828"/>
    <x v="42"/>
    <x v="2"/>
    <x v="2"/>
    <x v="9"/>
    <x v="3"/>
    <x v="8"/>
    <n v="4000"/>
    <n v="7"/>
    <n v="5"/>
    <n v="5"/>
    <n v="26600"/>
    <n v="25416.240000000002"/>
    <n v="1183.7599999999984"/>
    <s v="NO"/>
    <x v="1"/>
    <x v="1"/>
  </r>
  <r>
    <s v="ORD00829"/>
    <x v="47"/>
    <x v="0"/>
    <x v="4"/>
    <x v="10"/>
    <x v="1"/>
    <x v="9"/>
    <n v="1200"/>
    <n v="15"/>
    <n v="5"/>
    <n v="25"/>
    <n v="17100"/>
    <n v="14877.16"/>
    <n v="2222.84"/>
    <s v="YES"/>
    <x v="1"/>
    <x v="2"/>
  </r>
  <r>
    <s v="ORD00830"/>
    <x v="160"/>
    <x v="3"/>
    <x v="3"/>
    <x v="20"/>
    <x v="6"/>
    <x v="14"/>
    <n v="12000"/>
    <n v="6"/>
    <n v="15"/>
    <n v="0"/>
    <n v="61200"/>
    <n v="54624.43"/>
    <n v="6575.57"/>
    <s v="NO"/>
    <x v="1"/>
    <x v="1"/>
  </r>
  <r>
    <s v="ORD00831"/>
    <x v="170"/>
    <x v="3"/>
    <x v="1"/>
    <x v="20"/>
    <x v="6"/>
    <x v="14"/>
    <n v="12000"/>
    <n v="13"/>
    <n v="10"/>
    <n v="25"/>
    <n v="140400"/>
    <n v="142681.84"/>
    <n v="-2281.8399999999965"/>
    <s v="YES"/>
    <x v="0"/>
    <x v="2"/>
  </r>
  <r>
    <s v="ORD00832"/>
    <x v="177"/>
    <x v="0"/>
    <x v="1"/>
    <x v="7"/>
    <x v="2"/>
    <x v="7"/>
    <n v="18000"/>
    <n v="10"/>
    <n v="5"/>
    <n v="5"/>
    <n v="171000"/>
    <n v="159382.88"/>
    <n v="11617.119999999995"/>
    <s v="NO"/>
    <x v="1"/>
    <x v="1"/>
  </r>
  <r>
    <s v="ORD00833"/>
    <x v="26"/>
    <x v="2"/>
    <x v="4"/>
    <x v="22"/>
    <x v="0"/>
    <x v="10"/>
    <n v="35000"/>
    <n v="14"/>
    <n v="15"/>
    <n v="0"/>
    <n v="416500"/>
    <n v="392484.93"/>
    <n v="24015.070000000007"/>
    <s v="NO"/>
    <x v="1"/>
    <x v="1"/>
  </r>
  <r>
    <s v="ORD00834"/>
    <x v="130"/>
    <x v="2"/>
    <x v="0"/>
    <x v="1"/>
    <x v="1"/>
    <x v="1"/>
    <n v="1800"/>
    <n v="14"/>
    <n v="5"/>
    <n v="0"/>
    <n v="23940"/>
    <n v="20481"/>
    <n v="3459"/>
    <s v="NO"/>
    <x v="1"/>
    <x v="1"/>
  </r>
  <r>
    <s v="ORD00835"/>
    <x v="83"/>
    <x v="2"/>
    <x v="3"/>
    <x v="1"/>
    <x v="1"/>
    <x v="1"/>
    <n v="1800"/>
    <n v="14"/>
    <n v="10"/>
    <n v="5"/>
    <n v="22680"/>
    <n v="21901.49"/>
    <n v="778.5099999999984"/>
    <s v="NO"/>
    <x v="1"/>
    <x v="1"/>
  </r>
  <r>
    <s v="ORD00836"/>
    <x v="40"/>
    <x v="2"/>
    <x v="3"/>
    <x v="12"/>
    <x v="4"/>
    <x v="11"/>
    <n v="8000"/>
    <n v="7"/>
    <n v="5"/>
    <n v="25"/>
    <n v="53200"/>
    <n v="46070.559999999998"/>
    <n v="7129.4400000000023"/>
    <s v="YES"/>
    <x v="1"/>
    <x v="2"/>
  </r>
  <r>
    <s v="ORD00837"/>
    <x v="154"/>
    <x v="2"/>
    <x v="3"/>
    <x v="11"/>
    <x v="0"/>
    <x v="10"/>
    <n v="60000"/>
    <n v="7"/>
    <n v="10"/>
    <n v="15"/>
    <n v="378000"/>
    <n v="378738.51"/>
    <n v="-738.51000000000931"/>
    <s v="YES"/>
    <x v="0"/>
    <x v="2"/>
  </r>
  <r>
    <s v="ORD00838"/>
    <x v="42"/>
    <x v="2"/>
    <x v="2"/>
    <x v="0"/>
    <x v="0"/>
    <x v="0"/>
    <n v="6000"/>
    <n v="8"/>
    <n v="10"/>
    <n v="20"/>
    <n v="43200"/>
    <n v="42442.559999999998"/>
    <n v="757.44000000000233"/>
    <s v="YES"/>
    <x v="1"/>
    <x v="2"/>
  </r>
  <r>
    <s v="ORD00839"/>
    <x v="177"/>
    <x v="1"/>
    <x v="0"/>
    <x v="3"/>
    <x v="1"/>
    <x v="3"/>
    <n v="500"/>
    <n v="2"/>
    <n v="10"/>
    <n v="10"/>
    <n v="900"/>
    <n v="917.78"/>
    <n v="-17.779999999999973"/>
    <s v="NO"/>
    <x v="0"/>
    <x v="0"/>
  </r>
  <r>
    <s v="ORD00840"/>
    <x v="0"/>
    <x v="0"/>
    <x v="5"/>
    <x v="4"/>
    <x v="2"/>
    <x v="4"/>
    <n v="15000"/>
    <n v="4"/>
    <n v="15"/>
    <n v="10"/>
    <n v="51000"/>
    <n v="43993.81"/>
    <n v="7006.1900000000023"/>
    <s v="NO"/>
    <x v="1"/>
    <x v="1"/>
  </r>
  <r>
    <s v="ORD00841"/>
    <x v="11"/>
    <x v="3"/>
    <x v="2"/>
    <x v="1"/>
    <x v="1"/>
    <x v="1"/>
    <n v="1800"/>
    <n v="15"/>
    <n v="15"/>
    <n v="5"/>
    <n v="22950"/>
    <n v="21744.22"/>
    <n v="1205.7799999999988"/>
    <s v="NO"/>
    <x v="1"/>
    <x v="1"/>
  </r>
  <r>
    <s v="ORD00842"/>
    <x v="155"/>
    <x v="0"/>
    <x v="0"/>
    <x v="15"/>
    <x v="2"/>
    <x v="6"/>
    <n v="2500"/>
    <n v="7"/>
    <n v="10"/>
    <n v="25"/>
    <n v="15750"/>
    <n v="15323.31"/>
    <n v="426.69000000000051"/>
    <s v="YES"/>
    <x v="1"/>
    <x v="2"/>
  </r>
  <r>
    <s v="ORD00843"/>
    <x v="106"/>
    <x v="2"/>
    <x v="3"/>
    <x v="7"/>
    <x v="2"/>
    <x v="7"/>
    <n v="18000"/>
    <n v="15"/>
    <n v="10"/>
    <n v="20"/>
    <n v="243000"/>
    <n v="231077.37"/>
    <n v="11922.630000000005"/>
    <s v="YES"/>
    <x v="1"/>
    <x v="2"/>
  </r>
  <r>
    <s v="ORD00844"/>
    <x v="143"/>
    <x v="1"/>
    <x v="0"/>
    <x v="1"/>
    <x v="1"/>
    <x v="1"/>
    <n v="1800"/>
    <n v="12"/>
    <n v="10"/>
    <n v="15"/>
    <n v="19440"/>
    <n v="17833"/>
    <n v="1607"/>
    <s v="YES"/>
    <x v="1"/>
    <x v="2"/>
  </r>
  <r>
    <s v="ORD00845"/>
    <x v="69"/>
    <x v="3"/>
    <x v="0"/>
    <x v="6"/>
    <x v="2"/>
    <x v="6"/>
    <n v="4500"/>
    <n v="10"/>
    <n v="5"/>
    <n v="0"/>
    <n v="42750"/>
    <n v="43764.27"/>
    <n v="-1014.2699999999968"/>
    <s v="NO"/>
    <x v="0"/>
    <x v="0"/>
  </r>
  <r>
    <s v="ORD00846"/>
    <x v="143"/>
    <x v="0"/>
    <x v="1"/>
    <x v="12"/>
    <x v="4"/>
    <x v="11"/>
    <n v="8000"/>
    <n v="5"/>
    <n v="15"/>
    <n v="20"/>
    <n v="34000"/>
    <n v="33759"/>
    <n v="241"/>
    <s v="YES"/>
    <x v="1"/>
    <x v="2"/>
  </r>
  <r>
    <s v="ORD00847"/>
    <x v="153"/>
    <x v="1"/>
    <x v="2"/>
    <x v="17"/>
    <x v="1"/>
    <x v="1"/>
    <n v="1200"/>
    <n v="3"/>
    <n v="10"/>
    <n v="10"/>
    <n v="3240"/>
    <n v="3258.65"/>
    <n v="-18.650000000000091"/>
    <s v="NO"/>
    <x v="0"/>
    <x v="0"/>
  </r>
  <r>
    <s v="ORD00848"/>
    <x v="31"/>
    <x v="3"/>
    <x v="1"/>
    <x v="16"/>
    <x v="1"/>
    <x v="3"/>
    <n v="1500"/>
    <n v="6"/>
    <n v="10"/>
    <n v="20"/>
    <n v="8100"/>
    <n v="6920.7"/>
    <n v="1179.3000000000002"/>
    <s v="YES"/>
    <x v="1"/>
    <x v="2"/>
  </r>
  <r>
    <s v="ORD00849"/>
    <x v="117"/>
    <x v="2"/>
    <x v="0"/>
    <x v="16"/>
    <x v="1"/>
    <x v="3"/>
    <n v="1500"/>
    <n v="15"/>
    <n v="5"/>
    <n v="10"/>
    <n v="21375"/>
    <n v="21977.84"/>
    <n v="-602.84000000000015"/>
    <s v="YES"/>
    <x v="0"/>
    <x v="2"/>
  </r>
  <r>
    <s v="ORD00850"/>
    <x v="166"/>
    <x v="1"/>
    <x v="3"/>
    <x v="3"/>
    <x v="1"/>
    <x v="3"/>
    <n v="500"/>
    <n v="2"/>
    <n v="5"/>
    <n v="0"/>
    <n v="950"/>
    <n v="929.57"/>
    <n v="20.42999999999995"/>
    <s v="NO"/>
    <x v="1"/>
    <x v="1"/>
  </r>
  <r>
    <s v="ORD00851"/>
    <x v="99"/>
    <x v="2"/>
    <x v="3"/>
    <x v="14"/>
    <x v="1"/>
    <x v="2"/>
    <n v="6500"/>
    <n v="4"/>
    <n v="10"/>
    <n v="5"/>
    <n v="23400"/>
    <n v="22399.55"/>
    <n v="1000.4500000000007"/>
    <s v="NO"/>
    <x v="1"/>
    <x v="1"/>
  </r>
  <r>
    <s v="ORD00852"/>
    <x v="39"/>
    <x v="3"/>
    <x v="3"/>
    <x v="0"/>
    <x v="0"/>
    <x v="0"/>
    <n v="6000"/>
    <n v="1"/>
    <n v="10"/>
    <n v="5"/>
    <n v="5400"/>
    <n v="5541.68"/>
    <n v="-141.68000000000029"/>
    <s v="NO"/>
    <x v="0"/>
    <x v="0"/>
  </r>
  <r>
    <s v="ORD00853"/>
    <x v="153"/>
    <x v="0"/>
    <x v="4"/>
    <x v="13"/>
    <x v="0"/>
    <x v="12"/>
    <n v="8000"/>
    <n v="12"/>
    <n v="15"/>
    <n v="20"/>
    <n v="81600"/>
    <n v="72156.600000000006"/>
    <n v="9443.3999999999942"/>
    <s v="YES"/>
    <x v="1"/>
    <x v="2"/>
  </r>
  <r>
    <s v="ORD00854"/>
    <x v="91"/>
    <x v="1"/>
    <x v="5"/>
    <x v="20"/>
    <x v="6"/>
    <x v="14"/>
    <n v="12000"/>
    <n v="8"/>
    <n v="10"/>
    <n v="25"/>
    <n v="86400"/>
    <n v="86101.71"/>
    <n v="298.2899999999936"/>
    <s v="YES"/>
    <x v="1"/>
    <x v="2"/>
  </r>
  <r>
    <s v="ORD00855"/>
    <x v="51"/>
    <x v="3"/>
    <x v="3"/>
    <x v="14"/>
    <x v="1"/>
    <x v="2"/>
    <n v="6500"/>
    <n v="14"/>
    <n v="5"/>
    <n v="25"/>
    <n v="86450"/>
    <n v="81706.880000000005"/>
    <n v="4743.1199999999953"/>
    <s v="YES"/>
    <x v="1"/>
    <x v="2"/>
  </r>
  <r>
    <s v="ORD00856"/>
    <x v="49"/>
    <x v="0"/>
    <x v="5"/>
    <x v="1"/>
    <x v="1"/>
    <x v="1"/>
    <n v="1800"/>
    <n v="9"/>
    <n v="5"/>
    <n v="0"/>
    <n v="15390"/>
    <n v="15023.9"/>
    <n v="366.10000000000036"/>
    <s v="NO"/>
    <x v="1"/>
    <x v="1"/>
  </r>
  <r>
    <s v="ORD00857"/>
    <x v="174"/>
    <x v="1"/>
    <x v="5"/>
    <x v="14"/>
    <x v="1"/>
    <x v="2"/>
    <n v="6500"/>
    <n v="1"/>
    <n v="15"/>
    <n v="20"/>
    <n v="5525"/>
    <n v="5067.8500000000004"/>
    <n v="457.14999999999964"/>
    <s v="YES"/>
    <x v="1"/>
    <x v="2"/>
  </r>
  <r>
    <s v="ORD00858"/>
    <x v="107"/>
    <x v="2"/>
    <x v="2"/>
    <x v="5"/>
    <x v="0"/>
    <x v="5"/>
    <n v="4500"/>
    <n v="9"/>
    <n v="10"/>
    <n v="20"/>
    <n v="36450"/>
    <n v="38252.61"/>
    <n v="-1802.6100000000006"/>
    <s v="YES"/>
    <x v="0"/>
    <x v="2"/>
  </r>
  <r>
    <s v="ORD00859"/>
    <x v="160"/>
    <x v="2"/>
    <x v="1"/>
    <x v="1"/>
    <x v="1"/>
    <x v="1"/>
    <n v="1800"/>
    <n v="8"/>
    <n v="10"/>
    <n v="0"/>
    <n v="12960"/>
    <n v="11296.45"/>
    <n v="1663.5499999999993"/>
    <s v="NO"/>
    <x v="1"/>
    <x v="1"/>
  </r>
  <r>
    <s v="ORD00860"/>
    <x v="147"/>
    <x v="3"/>
    <x v="5"/>
    <x v="18"/>
    <x v="5"/>
    <x v="13"/>
    <n v="18000"/>
    <n v="7"/>
    <n v="10"/>
    <n v="0"/>
    <n v="113400"/>
    <n v="112069.59"/>
    <n v="1330.4100000000035"/>
    <s v="NO"/>
    <x v="1"/>
    <x v="1"/>
  </r>
  <r>
    <s v="ORD00861"/>
    <x v="6"/>
    <x v="0"/>
    <x v="0"/>
    <x v="18"/>
    <x v="5"/>
    <x v="13"/>
    <n v="18000"/>
    <n v="4"/>
    <n v="10"/>
    <n v="25"/>
    <n v="64800"/>
    <n v="58347.25"/>
    <n v="6452.75"/>
    <s v="YES"/>
    <x v="1"/>
    <x v="2"/>
  </r>
  <r>
    <s v="ORD00862"/>
    <x v="153"/>
    <x v="1"/>
    <x v="5"/>
    <x v="4"/>
    <x v="2"/>
    <x v="4"/>
    <n v="15000"/>
    <n v="3"/>
    <n v="15"/>
    <n v="10"/>
    <n v="38250"/>
    <n v="35346.51"/>
    <n v="2903.489999999998"/>
    <s v="NO"/>
    <x v="1"/>
    <x v="1"/>
  </r>
  <r>
    <s v="ORD00863"/>
    <x v="150"/>
    <x v="3"/>
    <x v="5"/>
    <x v="14"/>
    <x v="1"/>
    <x v="2"/>
    <n v="6500"/>
    <n v="5"/>
    <n v="5"/>
    <n v="5"/>
    <n v="30875"/>
    <n v="28951.26"/>
    <n v="1923.7400000000016"/>
    <s v="NO"/>
    <x v="1"/>
    <x v="1"/>
  </r>
  <r>
    <s v="ORD00864"/>
    <x v="29"/>
    <x v="0"/>
    <x v="0"/>
    <x v="6"/>
    <x v="2"/>
    <x v="6"/>
    <n v="4500"/>
    <n v="5"/>
    <n v="5"/>
    <n v="0"/>
    <n v="21375"/>
    <n v="18391.060000000001"/>
    <n v="2983.9399999999987"/>
    <s v="NO"/>
    <x v="1"/>
    <x v="1"/>
  </r>
  <r>
    <s v="ORD00865"/>
    <x v="168"/>
    <x v="1"/>
    <x v="4"/>
    <x v="23"/>
    <x v="0"/>
    <x v="12"/>
    <n v="7000"/>
    <n v="7"/>
    <n v="10"/>
    <n v="20"/>
    <n v="44100"/>
    <n v="41284.35"/>
    <n v="2815.6500000000015"/>
    <s v="YES"/>
    <x v="1"/>
    <x v="2"/>
  </r>
  <r>
    <s v="ORD00866"/>
    <x v="98"/>
    <x v="3"/>
    <x v="2"/>
    <x v="21"/>
    <x v="6"/>
    <x v="14"/>
    <n v="3500"/>
    <n v="4"/>
    <n v="10"/>
    <n v="5"/>
    <n v="12600"/>
    <n v="12685.61"/>
    <n v="-85.610000000000582"/>
    <s v="NO"/>
    <x v="0"/>
    <x v="0"/>
  </r>
  <r>
    <s v="ORD00867"/>
    <x v="159"/>
    <x v="3"/>
    <x v="5"/>
    <x v="12"/>
    <x v="4"/>
    <x v="11"/>
    <n v="8000"/>
    <n v="4"/>
    <n v="15"/>
    <n v="5"/>
    <n v="27200"/>
    <n v="27141.55"/>
    <n v="58.450000000000728"/>
    <s v="NO"/>
    <x v="1"/>
    <x v="1"/>
  </r>
  <r>
    <s v="ORD00868"/>
    <x v="137"/>
    <x v="2"/>
    <x v="5"/>
    <x v="17"/>
    <x v="1"/>
    <x v="1"/>
    <n v="1200"/>
    <n v="2"/>
    <n v="5"/>
    <n v="15"/>
    <n v="2280"/>
    <n v="2324.37"/>
    <n v="-44.369999999999891"/>
    <s v="YES"/>
    <x v="0"/>
    <x v="2"/>
  </r>
  <r>
    <s v="ORD00869"/>
    <x v="104"/>
    <x v="0"/>
    <x v="4"/>
    <x v="15"/>
    <x v="2"/>
    <x v="6"/>
    <n v="2500"/>
    <n v="12"/>
    <n v="10"/>
    <n v="20"/>
    <n v="27000"/>
    <n v="24574.1"/>
    <n v="2425.9000000000015"/>
    <s v="YES"/>
    <x v="1"/>
    <x v="2"/>
  </r>
  <r>
    <s v="ORD00870"/>
    <x v="75"/>
    <x v="0"/>
    <x v="4"/>
    <x v="11"/>
    <x v="0"/>
    <x v="10"/>
    <n v="60000"/>
    <n v="1"/>
    <n v="10"/>
    <n v="0"/>
    <n v="54000"/>
    <n v="49836.74"/>
    <n v="4163.260000000002"/>
    <s v="NO"/>
    <x v="1"/>
    <x v="1"/>
  </r>
  <r>
    <s v="ORD00871"/>
    <x v="178"/>
    <x v="2"/>
    <x v="5"/>
    <x v="14"/>
    <x v="1"/>
    <x v="2"/>
    <n v="6500"/>
    <n v="2"/>
    <n v="15"/>
    <n v="10"/>
    <n v="11050"/>
    <n v="9630"/>
    <n v="1420"/>
    <s v="NO"/>
    <x v="1"/>
    <x v="1"/>
  </r>
  <r>
    <s v="ORD00872"/>
    <x v="154"/>
    <x v="1"/>
    <x v="3"/>
    <x v="13"/>
    <x v="0"/>
    <x v="12"/>
    <n v="8000"/>
    <n v="11"/>
    <n v="10"/>
    <n v="5"/>
    <n v="79200"/>
    <n v="80164.160000000003"/>
    <n v="-964.16000000000349"/>
    <s v="NO"/>
    <x v="0"/>
    <x v="0"/>
  </r>
  <r>
    <s v="ORD00873"/>
    <x v="137"/>
    <x v="2"/>
    <x v="1"/>
    <x v="0"/>
    <x v="0"/>
    <x v="0"/>
    <n v="6000"/>
    <n v="5"/>
    <n v="5"/>
    <n v="10"/>
    <n v="28500"/>
    <n v="25328.62"/>
    <n v="3171.380000000001"/>
    <s v="YES"/>
    <x v="1"/>
    <x v="2"/>
  </r>
  <r>
    <s v="ORD00874"/>
    <x v="144"/>
    <x v="2"/>
    <x v="3"/>
    <x v="10"/>
    <x v="1"/>
    <x v="9"/>
    <n v="1200"/>
    <n v="5"/>
    <n v="15"/>
    <n v="5"/>
    <n v="5100"/>
    <n v="5132.3"/>
    <n v="-32.300000000000182"/>
    <s v="NO"/>
    <x v="0"/>
    <x v="0"/>
  </r>
  <r>
    <s v="ORD00875"/>
    <x v="157"/>
    <x v="1"/>
    <x v="4"/>
    <x v="8"/>
    <x v="1"/>
    <x v="3"/>
    <n v="2800"/>
    <n v="1"/>
    <n v="10"/>
    <n v="5"/>
    <n v="2520"/>
    <n v="2436.65"/>
    <n v="83.349999999999909"/>
    <s v="NO"/>
    <x v="1"/>
    <x v="1"/>
  </r>
  <r>
    <s v="ORD00876"/>
    <x v="56"/>
    <x v="3"/>
    <x v="3"/>
    <x v="17"/>
    <x v="1"/>
    <x v="1"/>
    <n v="1200"/>
    <n v="13"/>
    <n v="10"/>
    <n v="5"/>
    <n v="14040"/>
    <n v="13970.27"/>
    <n v="69.729999999999563"/>
    <s v="NO"/>
    <x v="1"/>
    <x v="1"/>
  </r>
  <r>
    <s v="ORD00877"/>
    <x v="17"/>
    <x v="1"/>
    <x v="5"/>
    <x v="21"/>
    <x v="6"/>
    <x v="14"/>
    <n v="3500"/>
    <n v="5"/>
    <n v="5"/>
    <n v="10"/>
    <n v="16625"/>
    <n v="16813.060000000001"/>
    <n v="-188.06000000000131"/>
    <s v="YES"/>
    <x v="0"/>
    <x v="2"/>
  </r>
  <r>
    <s v="ORD00878"/>
    <x v="72"/>
    <x v="2"/>
    <x v="1"/>
    <x v="17"/>
    <x v="1"/>
    <x v="1"/>
    <n v="1200"/>
    <n v="13"/>
    <n v="15"/>
    <n v="0"/>
    <n v="13260"/>
    <n v="11649.34"/>
    <n v="1610.6599999999999"/>
    <s v="NO"/>
    <x v="1"/>
    <x v="1"/>
  </r>
  <r>
    <s v="ORD00879"/>
    <x v="140"/>
    <x v="2"/>
    <x v="0"/>
    <x v="5"/>
    <x v="0"/>
    <x v="5"/>
    <n v="4500"/>
    <n v="11"/>
    <n v="15"/>
    <n v="10"/>
    <n v="42075"/>
    <n v="39915.919999999998"/>
    <n v="2159.0800000000017"/>
    <s v="NO"/>
    <x v="1"/>
    <x v="1"/>
  </r>
  <r>
    <s v="ORD00880"/>
    <x v="134"/>
    <x v="2"/>
    <x v="3"/>
    <x v="13"/>
    <x v="0"/>
    <x v="12"/>
    <n v="8000"/>
    <n v="13"/>
    <n v="10"/>
    <n v="5"/>
    <n v="93600"/>
    <n v="89414.35"/>
    <n v="4185.6499999999942"/>
    <s v="NO"/>
    <x v="1"/>
    <x v="1"/>
  </r>
  <r>
    <s v="ORD00881"/>
    <x v="107"/>
    <x v="3"/>
    <x v="2"/>
    <x v="6"/>
    <x v="2"/>
    <x v="6"/>
    <n v="4500"/>
    <n v="6"/>
    <n v="5"/>
    <n v="0"/>
    <n v="25650"/>
    <n v="25608.9"/>
    <n v="41.099999999998545"/>
    <s v="NO"/>
    <x v="1"/>
    <x v="1"/>
  </r>
  <r>
    <s v="ORD00882"/>
    <x v="35"/>
    <x v="1"/>
    <x v="5"/>
    <x v="14"/>
    <x v="1"/>
    <x v="2"/>
    <n v="6500"/>
    <n v="10"/>
    <n v="15"/>
    <n v="10"/>
    <n v="55250"/>
    <n v="57405.09"/>
    <n v="-2155.0899999999965"/>
    <s v="NO"/>
    <x v="0"/>
    <x v="0"/>
  </r>
  <r>
    <s v="ORD00883"/>
    <x v="5"/>
    <x v="1"/>
    <x v="3"/>
    <x v="1"/>
    <x v="1"/>
    <x v="1"/>
    <n v="1800"/>
    <n v="7"/>
    <n v="5"/>
    <n v="5"/>
    <n v="11970"/>
    <n v="11015.28"/>
    <n v="954.71999999999935"/>
    <s v="NO"/>
    <x v="1"/>
    <x v="1"/>
  </r>
  <r>
    <s v="ORD00884"/>
    <x v="13"/>
    <x v="3"/>
    <x v="4"/>
    <x v="17"/>
    <x v="1"/>
    <x v="1"/>
    <n v="1200"/>
    <n v="6"/>
    <n v="10"/>
    <n v="15"/>
    <n v="6480"/>
    <n v="5802.1"/>
    <n v="677.89999999999964"/>
    <s v="YES"/>
    <x v="1"/>
    <x v="2"/>
  </r>
  <r>
    <s v="ORD00885"/>
    <x v="70"/>
    <x v="3"/>
    <x v="2"/>
    <x v="21"/>
    <x v="6"/>
    <x v="14"/>
    <n v="3500"/>
    <n v="14"/>
    <n v="10"/>
    <n v="10"/>
    <n v="44100"/>
    <n v="43990.86"/>
    <n v="109.13999999999942"/>
    <s v="NO"/>
    <x v="1"/>
    <x v="1"/>
  </r>
  <r>
    <s v="ORD00886"/>
    <x v="155"/>
    <x v="3"/>
    <x v="2"/>
    <x v="9"/>
    <x v="3"/>
    <x v="8"/>
    <n v="4000"/>
    <n v="10"/>
    <n v="5"/>
    <n v="10"/>
    <n v="38000"/>
    <n v="33987.86"/>
    <n v="4012.1399999999994"/>
    <s v="YES"/>
    <x v="1"/>
    <x v="2"/>
  </r>
  <r>
    <s v="ORD00887"/>
    <x v="164"/>
    <x v="1"/>
    <x v="5"/>
    <x v="10"/>
    <x v="1"/>
    <x v="9"/>
    <n v="1200"/>
    <n v="11"/>
    <n v="10"/>
    <n v="20"/>
    <n v="11880"/>
    <n v="12288.88"/>
    <n v="-408.8799999999992"/>
    <s v="YES"/>
    <x v="0"/>
    <x v="2"/>
  </r>
  <r>
    <s v="ORD00888"/>
    <x v="21"/>
    <x v="0"/>
    <x v="3"/>
    <x v="17"/>
    <x v="1"/>
    <x v="1"/>
    <n v="1200"/>
    <n v="3"/>
    <n v="10"/>
    <n v="5"/>
    <n v="3240"/>
    <n v="3218.79"/>
    <n v="21.210000000000036"/>
    <s v="NO"/>
    <x v="1"/>
    <x v="1"/>
  </r>
  <r>
    <s v="ORD00889"/>
    <x v="50"/>
    <x v="3"/>
    <x v="5"/>
    <x v="13"/>
    <x v="0"/>
    <x v="12"/>
    <n v="8000"/>
    <n v="7"/>
    <n v="5"/>
    <n v="5"/>
    <n v="53200"/>
    <n v="51050.09"/>
    <n v="2149.9100000000035"/>
    <s v="NO"/>
    <x v="1"/>
    <x v="1"/>
  </r>
  <r>
    <s v="ORD00890"/>
    <x v="21"/>
    <x v="0"/>
    <x v="3"/>
    <x v="15"/>
    <x v="2"/>
    <x v="6"/>
    <n v="2500"/>
    <n v="5"/>
    <n v="5"/>
    <n v="0"/>
    <n v="11875"/>
    <n v="10108.959999999999"/>
    <n v="1766.0400000000009"/>
    <s v="NO"/>
    <x v="1"/>
    <x v="1"/>
  </r>
  <r>
    <s v="ORD00891"/>
    <x v="112"/>
    <x v="2"/>
    <x v="4"/>
    <x v="6"/>
    <x v="2"/>
    <x v="6"/>
    <n v="4500"/>
    <n v="10"/>
    <n v="15"/>
    <n v="0"/>
    <n v="38250"/>
    <n v="37280.76"/>
    <n v="969.23999999999796"/>
    <s v="NO"/>
    <x v="1"/>
    <x v="1"/>
  </r>
  <r>
    <s v="ORD00892"/>
    <x v="50"/>
    <x v="3"/>
    <x v="3"/>
    <x v="10"/>
    <x v="1"/>
    <x v="9"/>
    <n v="1200"/>
    <n v="3"/>
    <n v="10"/>
    <n v="10"/>
    <n v="3240"/>
    <n v="2872.15"/>
    <n v="367.84999999999991"/>
    <s v="NO"/>
    <x v="1"/>
    <x v="1"/>
  </r>
  <r>
    <s v="ORD00893"/>
    <x v="53"/>
    <x v="0"/>
    <x v="4"/>
    <x v="1"/>
    <x v="1"/>
    <x v="1"/>
    <n v="1800"/>
    <n v="13"/>
    <n v="15"/>
    <n v="5"/>
    <n v="19890"/>
    <n v="17876.47"/>
    <n v="2013.5299999999988"/>
    <s v="NO"/>
    <x v="1"/>
    <x v="1"/>
  </r>
  <r>
    <s v="ORD00894"/>
    <x v="146"/>
    <x v="0"/>
    <x v="3"/>
    <x v="18"/>
    <x v="5"/>
    <x v="13"/>
    <n v="18000"/>
    <n v="8"/>
    <n v="10"/>
    <n v="10"/>
    <n v="129600"/>
    <n v="123753.60000000001"/>
    <n v="5846.3999999999942"/>
    <s v="NO"/>
    <x v="1"/>
    <x v="1"/>
  </r>
  <r>
    <s v="ORD00895"/>
    <x v="18"/>
    <x v="0"/>
    <x v="2"/>
    <x v="15"/>
    <x v="2"/>
    <x v="6"/>
    <n v="2500"/>
    <n v="11"/>
    <n v="15"/>
    <n v="20"/>
    <n v="23375"/>
    <n v="23931.95"/>
    <n v="-556.95000000000073"/>
    <s v="YES"/>
    <x v="0"/>
    <x v="2"/>
  </r>
  <r>
    <s v="ORD00896"/>
    <x v="77"/>
    <x v="3"/>
    <x v="4"/>
    <x v="1"/>
    <x v="1"/>
    <x v="1"/>
    <n v="1800"/>
    <n v="2"/>
    <n v="10"/>
    <n v="0"/>
    <n v="3240"/>
    <n v="2843.38"/>
    <n v="396.61999999999989"/>
    <s v="NO"/>
    <x v="1"/>
    <x v="1"/>
  </r>
  <r>
    <s v="ORD00897"/>
    <x v="136"/>
    <x v="3"/>
    <x v="4"/>
    <x v="12"/>
    <x v="4"/>
    <x v="11"/>
    <n v="8000"/>
    <n v="3"/>
    <n v="10"/>
    <n v="5"/>
    <n v="21600"/>
    <n v="22638.93"/>
    <n v="-1038.9300000000003"/>
    <s v="NO"/>
    <x v="0"/>
    <x v="0"/>
  </r>
  <r>
    <s v="ORD00898"/>
    <x v="113"/>
    <x v="3"/>
    <x v="0"/>
    <x v="4"/>
    <x v="2"/>
    <x v="4"/>
    <n v="15000"/>
    <n v="1"/>
    <n v="15"/>
    <n v="25"/>
    <n v="12750"/>
    <n v="12336.1"/>
    <n v="413.89999999999964"/>
    <s v="YES"/>
    <x v="1"/>
    <x v="2"/>
  </r>
  <r>
    <s v="ORD00899"/>
    <x v="175"/>
    <x v="0"/>
    <x v="0"/>
    <x v="9"/>
    <x v="3"/>
    <x v="8"/>
    <n v="4000"/>
    <n v="5"/>
    <n v="15"/>
    <n v="25"/>
    <n v="17000"/>
    <n v="14861.79"/>
    <n v="2138.2099999999991"/>
    <s v="YES"/>
    <x v="1"/>
    <x v="2"/>
  </r>
  <r>
    <s v="ORD00900"/>
    <x v="133"/>
    <x v="1"/>
    <x v="4"/>
    <x v="1"/>
    <x v="1"/>
    <x v="1"/>
    <n v="1800"/>
    <n v="8"/>
    <n v="10"/>
    <n v="5"/>
    <n v="12960"/>
    <n v="13092.66"/>
    <n v="-132.65999999999985"/>
    <s v="NO"/>
    <x v="0"/>
    <x v="0"/>
  </r>
  <r>
    <s v="ORD00901"/>
    <x v="93"/>
    <x v="0"/>
    <x v="4"/>
    <x v="22"/>
    <x v="0"/>
    <x v="10"/>
    <n v="35000"/>
    <n v="3"/>
    <n v="10"/>
    <n v="15"/>
    <n v="94500"/>
    <n v="95993.91"/>
    <n v="-1493.9100000000035"/>
    <s v="YES"/>
    <x v="0"/>
    <x v="2"/>
  </r>
  <r>
    <s v="ORD00902"/>
    <x v="137"/>
    <x v="2"/>
    <x v="1"/>
    <x v="20"/>
    <x v="6"/>
    <x v="14"/>
    <n v="12000"/>
    <n v="4"/>
    <n v="15"/>
    <n v="20"/>
    <n v="40800"/>
    <n v="37934.81"/>
    <n v="2865.1900000000023"/>
    <s v="YES"/>
    <x v="1"/>
    <x v="2"/>
  </r>
  <r>
    <s v="ORD00903"/>
    <x v="53"/>
    <x v="0"/>
    <x v="0"/>
    <x v="10"/>
    <x v="1"/>
    <x v="9"/>
    <n v="1200"/>
    <n v="14"/>
    <n v="10"/>
    <n v="5"/>
    <n v="15120"/>
    <n v="14958.55"/>
    <n v="161.45000000000073"/>
    <s v="NO"/>
    <x v="1"/>
    <x v="1"/>
  </r>
  <r>
    <s v="ORD00904"/>
    <x v="77"/>
    <x v="2"/>
    <x v="3"/>
    <x v="12"/>
    <x v="4"/>
    <x v="11"/>
    <n v="8000"/>
    <n v="12"/>
    <n v="15"/>
    <n v="5"/>
    <n v="81600"/>
    <n v="73298.429999999993"/>
    <n v="8301.570000000007"/>
    <s v="NO"/>
    <x v="1"/>
    <x v="1"/>
  </r>
  <r>
    <s v="ORD00905"/>
    <x v="177"/>
    <x v="3"/>
    <x v="0"/>
    <x v="16"/>
    <x v="1"/>
    <x v="3"/>
    <n v="1500"/>
    <n v="11"/>
    <n v="15"/>
    <n v="10"/>
    <n v="14025"/>
    <n v="13563.97"/>
    <n v="461.03000000000065"/>
    <s v="NO"/>
    <x v="1"/>
    <x v="1"/>
  </r>
  <r>
    <s v="ORD00906"/>
    <x v="156"/>
    <x v="1"/>
    <x v="3"/>
    <x v="7"/>
    <x v="2"/>
    <x v="7"/>
    <n v="18000"/>
    <n v="8"/>
    <n v="5"/>
    <n v="25"/>
    <n v="136800"/>
    <n v="117801.12"/>
    <n v="18998.880000000005"/>
    <s v="YES"/>
    <x v="1"/>
    <x v="2"/>
  </r>
  <r>
    <s v="ORD00907"/>
    <x v="121"/>
    <x v="3"/>
    <x v="1"/>
    <x v="4"/>
    <x v="2"/>
    <x v="4"/>
    <n v="15000"/>
    <n v="13"/>
    <n v="10"/>
    <n v="25"/>
    <n v="175500"/>
    <n v="159549.34"/>
    <n v="15950.660000000003"/>
    <s v="YES"/>
    <x v="1"/>
    <x v="2"/>
  </r>
  <r>
    <s v="ORD00908"/>
    <x v="149"/>
    <x v="0"/>
    <x v="5"/>
    <x v="11"/>
    <x v="0"/>
    <x v="10"/>
    <n v="60000"/>
    <n v="4"/>
    <n v="15"/>
    <n v="20"/>
    <n v="204000"/>
    <n v="210877.63"/>
    <n v="-6877.6300000000047"/>
    <s v="YES"/>
    <x v="0"/>
    <x v="2"/>
  </r>
  <r>
    <s v="ORD00909"/>
    <x v="136"/>
    <x v="3"/>
    <x v="1"/>
    <x v="4"/>
    <x v="2"/>
    <x v="4"/>
    <n v="15000"/>
    <n v="1"/>
    <n v="15"/>
    <n v="15"/>
    <n v="12750"/>
    <n v="11550.17"/>
    <n v="1199.83"/>
    <s v="NO"/>
    <x v="1"/>
    <x v="1"/>
  </r>
  <r>
    <s v="ORD00910"/>
    <x v="27"/>
    <x v="1"/>
    <x v="2"/>
    <x v="7"/>
    <x v="2"/>
    <x v="7"/>
    <n v="18000"/>
    <n v="11"/>
    <n v="15"/>
    <n v="10"/>
    <n v="168300"/>
    <n v="166824.78"/>
    <n v="1475.2200000000012"/>
    <s v="NO"/>
    <x v="1"/>
    <x v="1"/>
  </r>
  <r>
    <s v="ORD00911"/>
    <x v="127"/>
    <x v="2"/>
    <x v="3"/>
    <x v="6"/>
    <x v="2"/>
    <x v="6"/>
    <n v="4500"/>
    <n v="4"/>
    <n v="10"/>
    <n v="25"/>
    <n v="16200"/>
    <n v="14830.67"/>
    <n v="1369.33"/>
    <s v="YES"/>
    <x v="1"/>
    <x v="2"/>
  </r>
  <r>
    <s v="ORD00912"/>
    <x v="97"/>
    <x v="3"/>
    <x v="0"/>
    <x v="11"/>
    <x v="0"/>
    <x v="10"/>
    <n v="60000"/>
    <n v="2"/>
    <n v="5"/>
    <n v="20"/>
    <n v="114000"/>
    <n v="117177.94"/>
    <n v="-3177.9400000000023"/>
    <s v="YES"/>
    <x v="0"/>
    <x v="2"/>
  </r>
  <r>
    <s v="ORD00913"/>
    <x v="89"/>
    <x v="2"/>
    <x v="3"/>
    <x v="5"/>
    <x v="0"/>
    <x v="5"/>
    <n v="4500"/>
    <n v="1"/>
    <n v="15"/>
    <n v="25"/>
    <n v="3825"/>
    <n v="3673.37"/>
    <n v="151.63000000000011"/>
    <s v="YES"/>
    <x v="1"/>
    <x v="2"/>
  </r>
  <r>
    <s v="ORD00914"/>
    <x v="69"/>
    <x v="3"/>
    <x v="4"/>
    <x v="16"/>
    <x v="1"/>
    <x v="3"/>
    <n v="1500"/>
    <n v="9"/>
    <n v="10"/>
    <n v="10"/>
    <n v="12150"/>
    <n v="11936.15"/>
    <n v="213.85000000000036"/>
    <s v="NO"/>
    <x v="1"/>
    <x v="1"/>
  </r>
  <r>
    <s v="ORD00915"/>
    <x v="117"/>
    <x v="2"/>
    <x v="2"/>
    <x v="17"/>
    <x v="1"/>
    <x v="1"/>
    <n v="1200"/>
    <n v="5"/>
    <n v="5"/>
    <n v="15"/>
    <n v="5700"/>
    <n v="5850.69"/>
    <n v="-150.6899999999996"/>
    <s v="YES"/>
    <x v="0"/>
    <x v="2"/>
  </r>
  <r>
    <s v="ORD00916"/>
    <x v="163"/>
    <x v="2"/>
    <x v="4"/>
    <x v="22"/>
    <x v="0"/>
    <x v="10"/>
    <n v="35000"/>
    <n v="15"/>
    <n v="10"/>
    <n v="20"/>
    <n v="472500"/>
    <n v="483150.84"/>
    <n v="-10650.840000000026"/>
    <s v="YES"/>
    <x v="0"/>
    <x v="2"/>
  </r>
  <r>
    <s v="ORD00917"/>
    <x v="147"/>
    <x v="1"/>
    <x v="5"/>
    <x v="17"/>
    <x v="1"/>
    <x v="1"/>
    <n v="1200"/>
    <n v="4"/>
    <n v="15"/>
    <n v="10"/>
    <n v="4080"/>
    <n v="4253.29"/>
    <n v="-173.28999999999996"/>
    <s v="NO"/>
    <x v="0"/>
    <x v="0"/>
  </r>
  <r>
    <s v="ORD00918"/>
    <x v="66"/>
    <x v="3"/>
    <x v="2"/>
    <x v="13"/>
    <x v="0"/>
    <x v="12"/>
    <n v="8000"/>
    <n v="10"/>
    <n v="10"/>
    <n v="15"/>
    <n v="72000"/>
    <n v="62611.88"/>
    <n v="9388.1200000000026"/>
    <s v="YES"/>
    <x v="1"/>
    <x v="2"/>
  </r>
  <r>
    <s v="ORD00919"/>
    <x v="65"/>
    <x v="3"/>
    <x v="5"/>
    <x v="16"/>
    <x v="1"/>
    <x v="3"/>
    <n v="1500"/>
    <n v="8"/>
    <n v="5"/>
    <n v="5"/>
    <n v="11400"/>
    <n v="9904.42"/>
    <n v="1495.58"/>
    <s v="NO"/>
    <x v="1"/>
    <x v="1"/>
  </r>
  <r>
    <s v="ORD00920"/>
    <x v="123"/>
    <x v="0"/>
    <x v="5"/>
    <x v="8"/>
    <x v="1"/>
    <x v="3"/>
    <n v="2800"/>
    <n v="15"/>
    <n v="5"/>
    <n v="5"/>
    <n v="39900"/>
    <n v="38342.769999999997"/>
    <n v="1557.2300000000032"/>
    <s v="NO"/>
    <x v="1"/>
    <x v="1"/>
  </r>
  <r>
    <s v="ORD00921"/>
    <x v="148"/>
    <x v="3"/>
    <x v="5"/>
    <x v="5"/>
    <x v="0"/>
    <x v="5"/>
    <n v="4500"/>
    <n v="14"/>
    <n v="5"/>
    <n v="25"/>
    <n v="59850"/>
    <n v="55170.559999999998"/>
    <n v="4679.4400000000023"/>
    <s v="YES"/>
    <x v="1"/>
    <x v="2"/>
  </r>
  <r>
    <s v="ORD00922"/>
    <x v="52"/>
    <x v="0"/>
    <x v="2"/>
    <x v="6"/>
    <x v="2"/>
    <x v="6"/>
    <n v="4500"/>
    <n v="3"/>
    <n v="10"/>
    <n v="5"/>
    <n v="12150"/>
    <n v="10412.799999999999"/>
    <n v="1737.2000000000007"/>
    <s v="NO"/>
    <x v="1"/>
    <x v="1"/>
  </r>
  <r>
    <s v="ORD00923"/>
    <x v="128"/>
    <x v="3"/>
    <x v="4"/>
    <x v="17"/>
    <x v="1"/>
    <x v="1"/>
    <n v="1200"/>
    <n v="15"/>
    <n v="15"/>
    <n v="0"/>
    <n v="15300"/>
    <n v="13994.37"/>
    <n v="1305.6299999999992"/>
    <s v="NO"/>
    <x v="1"/>
    <x v="1"/>
  </r>
  <r>
    <s v="ORD00924"/>
    <x v="16"/>
    <x v="1"/>
    <x v="0"/>
    <x v="2"/>
    <x v="1"/>
    <x v="2"/>
    <n v="1200"/>
    <n v="5"/>
    <n v="10"/>
    <n v="15"/>
    <n v="5400"/>
    <n v="4743.8900000000003"/>
    <n v="656.10999999999967"/>
    <s v="YES"/>
    <x v="1"/>
    <x v="2"/>
  </r>
  <r>
    <s v="ORD00925"/>
    <x v="61"/>
    <x v="2"/>
    <x v="3"/>
    <x v="14"/>
    <x v="1"/>
    <x v="2"/>
    <n v="6500"/>
    <n v="8"/>
    <n v="15"/>
    <n v="20"/>
    <n v="44200"/>
    <n v="44583.7"/>
    <n v="-383.69999999999709"/>
    <s v="YES"/>
    <x v="0"/>
    <x v="2"/>
  </r>
  <r>
    <s v="ORD00926"/>
    <x v="88"/>
    <x v="2"/>
    <x v="1"/>
    <x v="10"/>
    <x v="1"/>
    <x v="9"/>
    <n v="1200"/>
    <n v="14"/>
    <n v="5"/>
    <n v="5"/>
    <n v="15960"/>
    <n v="14387.91"/>
    <n v="1572.0900000000001"/>
    <s v="NO"/>
    <x v="1"/>
    <x v="1"/>
  </r>
  <r>
    <s v="ORD00927"/>
    <x v="63"/>
    <x v="0"/>
    <x v="0"/>
    <x v="8"/>
    <x v="1"/>
    <x v="3"/>
    <n v="2800"/>
    <n v="2"/>
    <n v="5"/>
    <n v="0"/>
    <n v="5320"/>
    <n v="5306.6"/>
    <n v="13.399999999999636"/>
    <s v="NO"/>
    <x v="1"/>
    <x v="1"/>
  </r>
  <r>
    <s v="ORD00928"/>
    <x v="103"/>
    <x v="2"/>
    <x v="2"/>
    <x v="18"/>
    <x v="5"/>
    <x v="13"/>
    <n v="18000"/>
    <n v="13"/>
    <n v="5"/>
    <n v="20"/>
    <n v="222300"/>
    <n v="213809.15"/>
    <n v="8490.8500000000058"/>
    <s v="YES"/>
    <x v="1"/>
    <x v="2"/>
  </r>
  <r>
    <s v="ORD00929"/>
    <x v="43"/>
    <x v="3"/>
    <x v="3"/>
    <x v="11"/>
    <x v="0"/>
    <x v="10"/>
    <n v="60000"/>
    <n v="14"/>
    <n v="5"/>
    <n v="25"/>
    <n v="798000"/>
    <n v="829257.8"/>
    <n v="-31257.800000000047"/>
    <s v="YES"/>
    <x v="0"/>
    <x v="2"/>
  </r>
  <r>
    <s v="ORD00930"/>
    <x v="50"/>
    <x v="0"/>
    <x v="5"/>
    <x v="19"/>
    <x v="0"/>
    <x v="12"/>
    <n v="3500"/>
    <n v="2"/>
    <n v="10"/>
    <n v="5"/>
    <n v="6300"/>
    <n v="5388.92"/>
    <n v="911.07999999999993"/>
    <s v="NO"/>
    <x v="1"/>
    <x v="1"/>
  </r>
  <r>
    <s v="ORD00931"/>
    <x v="18"/>
    <x v="2"/>
    <x v="2"/>
    <x v="10"/>
    <x v="1"/>
    <x v="9"/>
    <n v="1200"/>
    <n v="13"/>
    <n v="15"/>
    <n v="25"/>
    <n v="13260"/>
    <n v="12660.71"/>
    <n v="599.29000000000087"/>
    <s v="YES"/>
    <x v="1"/>
    <x v="2"/>
  </r>
  <r>
    <s v="ORD00932"/>
    <x v="130"/>
    <x v="3"/>
    <x v="5"/>
    <x v="18"/>
    <x v="5"/>
    <x v="13"/>
    <n v="18000"/>
    <n v="9"/>
    <n v="10"/>
    <n v="20"/>
    <n v="145800"/>
    <n v="146696.39000000001"/>
    <n v="-896.39000000001397"/>
    <s v="YES"/>
    <x v="0"/>
    <x v="2"/>
  </r>
  <r>
    <s v="ORD00933"/>
    <x v="48"/>
    <x v="3"/>
    <x v="4"/>
    <x v="23"/>
    <x v="0"/>
    <x v="12"/>
    <n v="7000"/>
    <n v="13"/>
    <n v="15"/>
    <n v="25"/>
    <n v="77350"/>
    <n v="69787.11"/>
    <n v="7562.8899999999994"/>
    <s v="YES"/>
    <x v="1"/>
    <x v="2"/>
  </r>
  <r>
    <s v="ORD00934"/>
    <x v="20"/>
    <x v="3"/>
    <x v="4"/>
    <x v="8"/>
    <x v="1"/>
    <x v="3"/>
    <n v="2800"/>
    <n v="5"/>
    <n v="5"/>
    <n v="5"/>
    <n v="13300"/>
    <n v="11375.19"/>
    <n v="1924.8099999999995"/>
    <s v="NO"/>
    <x v="1"/>
    <x v="1"/>
  </r>
  <r>
    <s v="ORD00935"/>
    <x v="129"/>
    <x v="0"/>
    <x v="1"/>
    <x v="23"/>
    <x v="0"/>
    <x v="12"/>
    <n v="7000"/>
    <n v="2"/>
    <n v="15"/>
    <n v="10"/>
    <n v="11900"/>
    <n v="10907.73"/>
    <n v="992.27000000000044"/>
    <s v="NO"/>
    <x v="1"/>
    <x v="1"/>
  </r>
  <r>
    <s v="ORD00936"/>
    <x v="60"/>
    <x v="1"/>
    <x v="1"/>
    <x v="7"/>
    <x v="2"/>
    <x v="7"/>
    <n v="18000"/>
    <n v="3"/>
    <n v="15"/>
    <n v="20"/>
    <n v="45900"/>
    <n v="41672.050000000003"/>
    <n v="4227.9499999999971"/>
    <s v="YES"/>
    <x v="1"/>
    <x v="2"/>
  </r>
  <r>
    <s v="ORD00937"/>
    <x v="100"/>
    <x v="2"/>
    <x v="3"/>
    <x v="2"/>
    <x v="1"/>
    <x v="2"/>
    <n v="1200"/>
    <n v="7"/>
    <n v="15"/>
    <n v="5"/>
    <n v="7140"/>
    <n v="6965.14"/>
    <n v="174.85999999999967"/>
    <s v="NO"/>
    <x v="1"/>
    <x v="1"/>
  </r>
  <r>
    <s v="ORD00938"/>
    <x v="119"/>
    <x v="3"/>
    <x v="4"/>
    <x v="10"/>
    <x v="1"/>
    <x v="9"/>
    <n v="1200"/>
    <n v="11"/>
    <n v="10"/>
    <n v="20"/>
    <n v="11880"/>
    <n v="11063.73"/>
    <n v="816.27000000000044"/>
    <s v="YES"/>
    <x v="1"/>
    <x v="2"/>
  </r>
  <r>
    <s v="ORD00939"/>
    <x v="60"/>
    <x v="0"/>
    <x v="1"/>
    <x v="1"/>
    <x v="1"/>
    <x v="1"/>
    <n v="1800"/>
    <n v="14"/>
    <n v="15"/>
    <n v="5"/>
    <n v="21420"/>
    <n v="19884.62"/>
    <n v="1535.380000000001"/>
    <s v="NO"/>
    <x v="1"/>
    <x v="1"/>
  </r>
  <r>
    <s v="ORD00940"/>
    <x v="35"/>
    <x v="1"/>
    <x v="4"/>
    <x v="3"/>
    <x v="1"/>
    <x v="3"/>
    <n v="500"/>
    <n v="6"/>
    <n v="5"/>
    <n v="15"/>
    <n v="2850"/>
    <n v="2806.8"/>
    <n v="43.199999999999818"/>
    <s v="YES"/>
    <x v="1"/>
    <x v="2"/>
  </r>
  <r>
    <s v="ORD00941"/>
    <x v="157"/>
    <x v="1"/>
    <x v="4"/>
    <x v="16"/>
    <x v="1"/>
    <x v="3"/>
    <n v="1500"/>
    <n v="15"/>
    <n v="10"/>
    <n v="10"/>
    <n v="20250"/>
    <n v="20445.93"/>
    <n v="-195.93000000000029"/>
    <s v="NO"/>
    <x v="0"/>
    <x v="0"/>
  </r>
  <r>
    <s v="ORD00942"/>
    <x v="89"/>
    <x v="0"/>
    <x v="3"/>
    <x v="16"/>
    <x v="1"/>
    <x v="3"/>
    <n v="1500"/>
    <n v="1"/>
    <n v="10"/>
    <n v="10"/>
    <n v="1350"/>
    <n v="1393.95"/>
    <n v="-43.950000000000045"/>
    <s v="NO"/>
    <x v="0"/>
    <x v="0"/>
  </r>
  <r>
    <s v="ORD00943"/>
    <x v="30"/>
    <x v="0"/>
    <x v="2"/>
    <x v="5"/>
    <x v="0"/>
    <x v="5"/>
    <n v="4500"/>
    <n v="14"/>
    <n v="10"/>
    <n v="10"/>
    <n v="56700"/>
    <n v="53135.25"/>
    <n v="3564.75"/>
    <s v="NO"/>
    <x v="1"/>
    <x v="1"/>
  </r>
  <r>
    <s v="ORD00944"/>
    <x v="45"/>
    <x v="0"/>
    <x v="4"/>
    <x v="6"/>
    <x v="2"/>
    <x v="6"/>
    <n v="4500"/>
    <n v="5"/>
    <n v="5"/>
    <n v="0"/>
    <n v="21375"/>
    <n v="22419.54"/>
    <n v="-1044.5400000000009"/>
    <s v="NO"/>
    <x v="0"/>
    <x v="0"/>
  </r>
  <r>
    <s v="ORD00945"/>
    <x v="122"/>
    <x v="1"/>
    <x v="5"/>
    <x v="20"/>
    <x v="6"/>
    <x v="14"/>
    <n v="12000"/>
    <n v="15"/>
    <n v="15"/>
    <n v="0"/>
    <n v="153000"/>
    <n v="156178.32999999999"/>
    <n v="-3178.3299999999872"/>
    <s v="NO"/>
    <x v="0"/>
    <x v="0"/>
  </r>
  <r>
    <s v="ORD00946"/>
    <x v="95"/>
    <x v="1"/>
    <x v="5"/>
    <x v="23"/>
    <x v="0"/>
    <x v="12"/>
    <n v="7000"/>
    <n v="3"/>
    <n v="10"/>
    <n v="20"/>
    <n v="18900"/>
    <n v="19005.05"/>
    <n v="-105.04999999999927"/>
    <s v="YES"/>
    <x v="0"/>
    <x v="2"/>
  </r>
  <r>
    <s v="ORD00947"/>
    <x v="66"/>
    <x v="2"/>
    <x v="0"/>
    <x v="12"/>
    <x v="4"/>
    <x v="11"/>
    <n v="8000"/>
    <n v="15"/>
    <n v="5"/>
    <n v="10"/>
    <n v="114000"/>
    <n v="115079.4"/>
    <n v="-1079.3999999999942"/>
    <s v="YES"/>
    <x v="0"/>
    <x v="2"/>
  </r>
  <r>
    <s v="ORD00948"/>
    <x v="10"/>
    <x v="1"/>
    <x v="1"/>
    <x v="6"/>
    <x v="2"/>
    <x v="6"/>
    <n v="4500"/>
    <n v="10"/>
    <n v="10"/>
    <n v="15"/>
    <n v="40500"/>
    <n v="42117.99"/>
    <n v="-1617.989999999998"/>
    <s v="YES"/>
    <x v="0"/>
    <x v="2"/>
  </r>
  <r>
    <s v="ORD00949"/>
    <x v="172"/>
    <x v="1"/>
    <x v="2"/>
    <x v="21"/>
    <x v="6"/>
    <x v="14"/>
    <n v="3500"/>
    <n v="3"/>
    <n v="10"/>
    <n v="25"/>
    <n v="9450"/>
    <n v="8990.07"/>
    <n v="459.93000000000029"/>
    <s v="YES"/>
    <x v="1"/>
    <x v="2"/>
  </r>
  <r>
    <s v="ORD00950"/>
    <x v="92"/>
    <x v="3"/>
    <x v="3"/>
    <x v="18"/>
    <x v="5"/>
    <x v="13"/>
    <n v="18000"/>
    <n v="6"/>
    <n v="15"/>
    <n v="0"/>
    <n v="91800"/>
    <n v="91452.02"/>
    <n v="347.97999999999593"/>
    <s v="NO"/>
    <x v="1"/>
    <x v="1"/>
  </r>
  <r>
    <s v="ORD00951"/>
    <x v="11"/>
    <x v="1"/>
    <x v="1"/>
    <x v="16"/>
    <x v="1"/>
    <x v="3"/>
    <n v="1500"/>
    <n v="9"/>
    <n v="10"/>
    <n v="25"/>
    <n v="12150"/>
    <n v="11584.91"/>
    <n v="565.09000000000015"/>
    <s v="YES"/>
    <x v="1"/>
    <x v="2"/>
  </r>
  <r>
    <s v="ORD00952"/>
    <x v="50"/>
    <x v="2"/>
    <x v="2"/>
    <x v="20"/>
    <x v="6"/>
    <x v="14"/>
    <n v="12000"/>
    <n v="7"/>
    <n v="5"/>
    <n v="0"/>
    <n v="79800"/>
    <n v="72854.740000000005"/>
    <n v="6945.2599999999948"/>
    <s v="NO"/>
    <x v="1"/>
    <x v="1"/>
  </r>
  <r>
    <s v="ORD00953"/>
    <x v="28"/>
    <x v="2"/>
    <x v="2"/>
    <x v="18"/>
    <x v="5"/>
    <x v="13"/>
    <n v="18000"/>
    <n v="3"/>
    <n v="15"/>
    <n v="15"/>
    <n v="45900"/>
    <n v="45637.31"/>
    <n v="262.69000000000233"/>
    <s v="NO"/>
    <x v="1"/>
    <x v="1"/>
  </r>
  <r>
    <s v="ORD00954"/>
    <x v="70"/>
    <x v="3"/>
    <x v="2"/>
    <x v="20"/>
    <x v="6"/>
    <x v="14"/>
    <n v="12000"/>
    <n v="2"/>
    <n v="15"/>
    <n v="10"/>
    <n v="20400"/>
    <n v="19096.86"/>
    <n v="1303.1399999999994"/>
    <s v="NO"/>
    <x v="1"/>
    <x v="1"/>
  </r>
  <r>
    <s v="ORD00955"/>
    <x v="51"/>
    <x v="1"/>
    <x v="2"/>
    <x v="20"/>
    <x v="6"/>
    <x v="14"/>
    <n v="12000"/>
    <n v="6"/>
    <n v="15"/>
    <n v="5"/>
    <n v="61200"/>
    <n v="54660.89"/>
    <n v="6539.1100000000006"/>
    <s v="NO"/>
    <x v="1"/>
    <x v="1"/>
  </r>
  <r>
    <s v="ORD00956"/>
    <x v="134"/>
    <x v="3"/>
    <x v="1"/>
    <x v="9"/>
    <x v="3"/>
    <x v="8"/>
    <n v="4000"/>
    <n v="1"/>
    <n v="15"/>
    <n v="20"/>
    <n v="3400"/>
    <n v="3418.93"/>
    <n v="-18.929999999999836"/>
    <s v="YES"/>
    <x v="0"/>
    <x v="2"/>
  </r>
  <r>
    <s v="ORD00957"/>
    <x v="5"/>
    <x v="2"/>
    <x v="5"/>
    <x v="0"/>
    <x v="0"/>
    <x v="0"/>
    <n v="6000"/>
    <n v="8"/>
    <n v="15"/>
    <n v="10"/>
    <n v="40800"/>
    <n v="41351.99"/>
    <n v="-551.98999999999796"/>
    <s v="NO"/>
    <x v="0"/>
    <x v="0"/>
  </r>
  <r>
    <s v="ORD00958"/>
    <x v="155"/>
    <x v="0"/>
    <x v="0"/>
    <x v="19"/>
    <x v="0"/>
    <x v="12"/>
    <n v="3500"/>
    <n v="4"/>
    <n v="10"/>
    <n v="0"/>
    <n v="12600"/>
    <n v="11124.27"/>
    <n v="1475.7299999999996"/>
    <s v="NO"/>
    <x v="1"/>
    <x v="1"/>
  </r>
  <r>
    <s v="ORD00959"/>
    <x v="128"/>
    <x v="3"/>
    <x v="2"/>
    <x v="17"/>
    <x v="1"/>
    <x v="1"/>
    <n v="1200"/>
    <n v="6"/>
    <n v="10"/>
    <n v="15"/>
    <n v="6480"/>
    <n v="6125.73"/>
    <n v="354.27000000000044"/>
    <s v="YES"/>
    <x v="1"/>
    <x v="2"/>
  </r>
  <r>
    <s v="ORD00960"/>
    <x v="157"/>
    <x v="3"/>
    <x v="1"/>
    <x v="18"/>
    <x v="5"/>
    <x v="13"/>
    <n v="18000"/>
    <n v="7"/>
    <n v="5"/>
    <n v="15"/>
    <n v="119700"/>
    <n v="104917.08"/>
    <n v="14782.919999999998"/>
    <s v="YES"/>
    <x v="1"/>
    <x v="2"/>
  </r>
  <r>
    <s v="ORD00961"/>
    <x v="92"/>
    <x v="3"/>
    <x v="1"/>
    <x v="14"/>
    <x v="1"/>
    <x v="2"/>
    <n v="6500"/>
    <n v="7"/>
    <n v="5"/>
    <n v="15"/>
    <n v="43225"/>
    <n v="42979.75"/>
    <n v="245.25"/>
    <s v="YES"/>
    <x v="1"/>
    <x v="2"/>
  </r>
  <r>
    <s v="ORD00962"/>
    <x v="69"/>
    <x v="0"/>
    <x v="1"/>
    <x v="13"/>
    <x v="0"/>
    <x v="12"/>
    <n v="8000"/>
    <n v="9"/>
    <n v="10"/>
    <n v="10"/>
    <n v="64800"/>
    <n v="60532.59"/>
    <n v="4267.4100000000035"/>
    <s v="NO"/>
    <x v="1"/>
    <x v="1"/>
  </r>
  <r>
    <s v="ORD00963"/>
    <x v="175"/>
    <x v="0"/>
    <x v="3"/>
    <x v="2"/>
    <x v="1"/>
    <x v="2"/>
    <n v="1200"/>
    <n v="13"/>
    <n v="5"/>
    <n v="0"/>
    <n v="14820"/>
    <n v="12790.67"/>
    <n v="2029.33"/>
    <s v="NO"/>
    <x v="1"/>
    <x v="1"/>
  </r>
  <r>
    <s v="ORD00964"/>
    <x v="142"/>
    <x v="2"/>
    <x v="0"/>
    <x v="5"/>
    <x v="0"/>
    <x v="5"/>
    <n v="4500"/>
    <n v="9"/>
    <n v="5"/>
    <n v="15"/>
    <n v="38475"/>
    <n v="34259.550000000003"/>
    <n v="4215.4499999999971"/>
    <s v="YES"/>
    <x v="1"/>
    <x v="2"/>
  </r>
  <r>
    <s v="ORD00965"/>
    <x v="49"/>
    <x v="3"/>
    <x v="2"/>
    <x v="12"/>
    <x v="4"/>
    <x v="11"/>
    <n v="8000"/>
    <n v="12"/>
    <n v="10"/>
    <n v="5"/>
    <n v="86400"/>
    <n v="75145.990000000005"/>
    <n v="11254.009999999995"/>
    <s v="NO"/>
    <x v="1"/>
    <x v="1"/>
  </r>
  <r>
    <s v="ORD00966"/>
    <x v="4"/>
    <x v="0"/>
    <x v="5"/>
    <x v="21"/>
    <x v="6"/>
    <x v="14"/>
    <n v="3500"/>
    <n v="12"/>
    <n v="5"/>
    <n v="5"/>
    <n v="39900"/>
    <n v="35770.04"/>
    <n v="4129.9599999999991"/>
    <s v="NO"/>
    <x v="1"/>
    <x v="1"/>
  </r>
  <r>
    <s v="ORD00967"/>
    <x v="69"/>
    <x v="0"/>
    <x v="1"/>
    <x v="18"/>
    <x v="5"/>
    <x v="13"/>
    <n v="18000"/>
    <n v="5"/>
    <n v="10"/>
    <n v="10"/>
    <n v="81000"/>
    <n v="83343.66"/>
    <n v="-2343.6600000000035"/>
    <s v="NO"/>
    <x v="0"/>
    <x v="0"/>
  </r>
  <r>
    <s v="ORD00968"/>
    <x v="23"/>
    <x v="3"/>
    <x v="3"/>
    <x v="23"/>
    <x v="0"/>
    <x v="12"/>
    <n v="7000"/>
    <n v="10"/>
    <n v="10"/>
    <n v="0"/>
    <n v="63000"/>
    <n v="60044.58"/>
    <n v="2955.4199999999983"/>
    <s v="NO"/>
    <x v="1"/>
    <x v="1"/>
  </r>
  <r>
    <s v="ORD00969"/>
    <x v="114"/>
    <x v="2"/>
    <x v="1"/>
    <x v="8"/>
    <x v="1"/>
    <x v="3"/>
    <n v="2800"/>
    <n v="15"/>
    <n v="5"/>
    <n v="0"/>
    <n v="39900"/>
    <n v="40163.120000000003"/>
    <n v="-263.12000000000262"/>
    <s v="NO"/>
    <x v="0"/>
    <x v="0"/>
  </r>
  <r>
    <s v="ORD00970"/>
    <x v="158"/>
    <x v="2"/>
    <x v="1"/>
    <x v="12"/>
    <x v="4"/>
    <x v="11"/>
    <n v="8000"/>
    <n v="6"/>
    <n v="10"/>
    <n v="0"/>
    <n v="43200"/>
    <n v="42415.8"/>
    <n v="784.19999999999709"/>
    <s v="NO"/>
    <x v="1"/>
    <x v="1"/>
  </r>
  <r>
    <s v="ORD00971"/>
    <x v="63"/>
    <x v="0"/>
    <x v="1"/>
    <x v="16"/>
    <x v="1"/>
    <x v="3"/>
    <n v="1500"/>
    <n v="15"/>
    <n v="15"/>
    <n v="5"/>
    <n v="19125"/>
    <n v="19299.689999999999"/>
    <n v="-174.68999999999869"/>
    <s v="NO"/>
    <x v="0"/>
    <x v="0"/>
  </r>
  <r>
    <s v="ORD00972"/>
    <x v="175"/>
    <x v="1"/>
    <x v="3"/>
    <x v="2"/>
    <x v="1"/>
    <x v="2"/>
    <n v="1200"/>
    <n v="2"/>
    <n v="10"/>
    <n v="0"/>
    <n v="2160"/>
    <n v="1869.85"/>
    <n v="290.15000000000009"/>
    <s v="NO"/>
    <x v="1"/>
    <x v="1"/>
  </r>
  <r>
    <s v="ORD00973"/>
    <x v="100"/>
    <x v="3"/>
    <x v="2"/>
    <x v="20"/>
    <x v="6"/>
    <x v="14"/>
    <n v="12000"/>
    <n v="9"/>
    <n v="10"/>
    <n v="0"/>
    <n v="97200"/>
    <n v="82941.67"/>
    <n v="14258.330000000002"/>
    <s v="NO"/>
    <x v="1"/>
    <x v="1"/>
  </r>
  <r>
    <s v="ORD00974"/>
    <x v="157"/>
    <x v="2"/>
    <x v="1"/>
    <x v="9"/>
    <x v="3"/>
    <x v="8"/>
    <n v="4000"/>
    <n v="8"/>
    <n v="15"/>
    <n v="25"/>
    <n v="27200"/>
    <n v="25747.03"/>
    <n v="1452.9700000000012"/>
    <s v="YES"/>
    <x v="1"/>
    <x v="2"/>
  </r>
  <r>
    <s v="ORD00975"/>
    <x v="13"/>
    <x v="1"/>
    <x v="1"/>
    <x v="6"/>
    <x v="2"/>
    <x v="6"/>
    <n v="4500"/>
    <n v="1"/>
    <n v="15"/>
    <n v="25"/>
    <n v="3825"/>
    <n v="3454.37"/>
    <n v="370.63000000000011"/>
    <s v="YES"/>
    <x v="1"/>
    <x v="2"/>
  </r>
  <r>
    <s v="ORD00976"/>
    <x v="10"/>
    <x v="3"/>
    <x v="1"/>
    <x v="1"/>
    <x v="1"/>
    <x v="1"/>
    <n v="1800"/>
    <n v="4"/>
    <n v="15"/>
    <n v="20"/>
    <n v="6120"/>
    <n v="5458.38"/>
    <n v="661.61999999999989"/>
    <s v="YES"/>
    <x v="1"/>
    <x v="2"/>
  </r>
  <r>
    <s v="ORD00977"/>
    <x v="158"/>
    <x v="0"/>
    <x v="3"/>
    <x v="3"/>
    <x v="1"/>
    <x v="3"/>
    <n v="500"/>
    <n v="1"/>
    <n v="15"/>
    <n v="20"/>
    <n v="425"/>
    <n v="362.33"/>
    <n v="62.670000000000016"/>
    <s v="YES"/>
    <x v="1"/>
    <x v="2"/>
  </r>
  <r>
    <s v="ORD00978"/>
    <x v="68"/>
    <x v="0"/>
    <x v="4"/>
    <x v="5"/>
    <x v="0"/>
    <x v="5"/>
    <n v="4500"/>
    <n v="1"/>
    <n v="10"/>
    <n v="5"/>
    <n v="4050"/>
    <n v="3658.01"/>
    <n v="391.98999999999978"/>
    <s v="NO"/>
    <x v="1"/>
    <x v="1"/>
  </r>
  <r>
    <s v="ORD00979"/>
    <x v="12"/>
    <x v="3"/>
    <x v="5"/>
    <x v="17"/>
    <x v="1"/>
    <x v="1"/>
    <n v="1200"/>
    <n v="5"/>
    <n v="15"/>
    <n v="5"/>
    <n v="5100"/>
    <n v="5186.63"/>
    <n v="-86.630000000000109"/>
    <s v="NO"/>
    <x v="0"/>
    <x v="0"/>
  </r>
  <r>
    <s v="ORD00980"/>
    <x v="53"/>
    <x v="3"/>
    <x v="1"/>
    <x v="1"/>
    <x v="1"/>
    <x v="1"/>
    <n v="1800"/>
    <n v="3"/>
    <n v="15"/>
    <n v="20"/>
    <n v="4590"/>
    <n v="4149.59"/>
    <n v="440.40999999999985"/>
    <s v="YES"/>
    <x v="1"/>
    <x v="2"/>
  </r>
  <r>
    <s v="ORD00981"/>
    <x v="67"/>
    <x v="0"/>
    <x v="0"/>
    <x v="16"/>
    <x v="1"/>
    <x v="3"/>
    <n v="1500"/>
    <n v="3"/>
    <n v="5"/>
    <n v="25"/>
    <n v="4275"/>
    <n v="4468.21"/>
    <n v="-193.21000000000004"/>
    <s v="YES"/>
    <x v="0"/>
    <x v="2"/>
  </r>
  <r>
    <s v="ORD00982"/>
    <x v="104"/>
    <x v="3"/>
    <x v="5"/>
    <x v="5"/>
    <x v="0"/>
    <x v="5"/>
    <n v="4500"/>
    <n v="12"/>
    <n v="5"/>
    <n v="15"/>
    <n v="51300"/>
    <n v="43810.96"/>
    <n v="7489.0400000000009"/>
    <s v="YES"/>
    <x v="1"/>
    <x v="2"/>
  </r>
  <r>
    <s v="ORD00983"/>
    <x v="79"/>
    <x v="0"/>
    <x v="3"/>
    <x v="9"/>
    <x v="3"/>
    <x v="8"/>
    <n v="4000"/>
    <n v="3"/>
    <n v="5"/>
    <n v="0"/>
    <n v="11400"/>
    <n v="11079.51"/>
    <n v="320.48999999999978"/>
    <s v="NO"/>
    <x v="1"/>
    <x v="1"/>
  </r>
  <r>
    <s v="ORD00984"/>
    <x v="105"/>
    <x v="1"/>
    <x v="4"/>
    <x v="1"/>
    <x v="1"/>
    <x v="1"/>
    <n v="1800"/>
    <n v="7"/>
    <n v="10"/>
    <n v="0"/>
    <n v="11340"/>
    <n v="11724.32"/>
    <n v="-384.31999999999971"/>
    <s v="NO"/>
    <x v="0"/>
    <x v="0"/>
  </r>
  <r>
    <s v="ORD00985"/>
    <x v="55"/>
    <x v="0"/>
    <x v="4"/>
    <x v="23"/>
    <x v="0"/>
    <x v="12"/>
    <n v="7000"/>
    <n v="3"/>
    <n v="10"/>
    <n v="5"/>
    <n v="18900"/>
    <n v="19090.78"/>
    <n v="-190.77999999999884"/>
    <s v="NO"/>
    <x v="0"/>
    <x v="0"/>
  </r>
  <r>
    <s v="ORD00986"/>
    <x v="118"/>
    <x v="2"/>
    <x v="1"/>
    <x v="10"/>
    <x v="1"/>
    <x v="9"/>
    <n v="1200"/>
    <n v="5"/>
    <n v="15"/>
    <n v="20"/>
    <n v="5100"/>
    <n v="4586.79"/>
    <n v="513.21"/>
    <s v="YES"/>
    <x v="1"/>
    <x v="2"/>
  </r>
  <r>
    <s v="ORD00987"/>
    <x v="115"/>
    <x v="2"/>
    <x v="0"/>
    <x v="23"/>
    <x v="0"/>
    <x v="12"/>
    <n v="7000"/>
    <n v="2"/>
    <n v="10"/>
    <n v="5"/>
    <n v="12600"/>
    <n v="12911.9"/>
    <n v="-311.89999999999964"/>
    <s v="NO"/>
    <x v="0"/>
    <x v="0"/>
  </r>
  <r>
    <s v="ORD00988"/>
    <x v="127"/>
    <x v="0"/>
    <x v="3"/>
    <x v="21"/>
    <x v="6"/>
    <x v="14"/>
    <n v="3500"/>
    <n v="13"/>
    <n v="10"/>
    <n v="0"/>
    <n v="40950"/>
    <n v="38021.839999999997"/>
    <n v="2928.1600000000035"/>
    <s v="NO"/>
    <x v="1"/>
    <x v="1"/>
  </r>
  <r>
    <s v="ORD00989"/>
    <x v="85"/>
    <x v="2"/>
    <x v="3"/>
    <x v="1"/>
    <x v="1"/>
    <x v="1"/>
    <n v="1800"/>
    <n v="12"/>
    <n v="15"/>
    <n v="5"/>
    <n v="18360"/>
    <n v="19241.009999999998"/>
    <n v="-881.0099999999984"/>
    <s v="NO"/>
    <x v="0"/>
    <x v="0"/>
  </r>
  <r>
    <s v="ORD00990"/>
    <x v="86"/>
    <x v="2"/>
    <x v="0"/>
    <x v="7"/>
    <x v="2"/>
    <x v="7"/>
    <n v="18000"/>
    <n v="11"/>
    <n v="5"/>
    <n v="25"/>
    <n v="188100"/>
    <n v="180504.52"/>
    <n v="7595.4800000000105"/>
    <s v="YES"/>
    <x v="1"/>
    <x v="2"/>
  </r>
  <r>
    <s v="ORD00991"/>
    <x v="43"/>
    <x v="3"/>
    <x v="3"/>
    <x v="18"/>
    <x v="5"/>
    <x v="13"/>
    <n v="18000"/>
    <n v="12"/>
    <n v="10"/>
    <n v="25"/>
    <n v="194400"/>
    <n v="190828.5"/>
    <n v="3571.5"/>
    <s v="YES"/>
    <x v="1"/>
    <x v="2"/>
  </r>
  <r>
    <s v="ORD00992"/>
    <x v="173"/>
    <x v="3"/>
    <x v="3"/>
    <x v="5"/>
    <x v="0"/>
    <x v="5"/>
    <n v="4500"/>
    <n v="14"/>
    <n v="5"/>
    <n v="10"/>
    <n v="59850"/>
    <n v="53385.37"/>
    <n v="6464.6299999999974"/>
    <s v="YES"/>
    <x v="1"/>
    <x v="2"/>
  </r>
  <r>
    <s v="ORD00993"/>
    <x v="137"/>
    <x v="3"/>
    <x v="2"/>
    <x v="3"/>
    <x v="1"/>
    <x v="3"/>
    <n v="500"/>
    <n v="14"/>
    <n v="15"/>
    <n v="25"/>
    <n v="5950"/>
    <n v="6062.15"/>
    <n v="-112.14999999999964"/>
    <s v="YES"/>
    <x v="0"/>
    <x v="2"/>
  </r>
  <r>
    <s v="ORD00994"/>
    <x v="131"/>
    <x v="2"/>
    <x v="2"/>
    <x v="18"/>
    <x v="5"/>
    <x v="13"/>
    <n v="18000"/>
    <n v="3"/>
    <n v="5"/>
    <n v="0"/>
    <n v="51300"/>
    <n v="50458.77"/>
    <n v="841.2300000000032"/>
    <s v="NO"/>
    <x v="1"/>
    <x v="1"/>
  </r>
  <r>
    <s v="ORD00995"/>
    <x v="37"/>
    <x v="1"/>
    <x v="5"/>
    <x v="2"/>
    <x v="1"/>
    <x v="2"/>
    <n v="1200"/>
    <n v="15"/>
    <n v="10"/>
    <n v="5"/>
    <n v="16200"/>
    <n v="15721.79"/>
    <n v="478.20999999999913"/>
    <s v="NO"/>
    <x v="1"/>
    <x v="1"/>
  </r>
  <r>
    <s v="ORD00996"/>
    <x v="105"/>
    <x v="1"/>
    <x v="4"/>
    <x v="8"/>
    <x v="1"/>
    <x v="3"/>
    <n v="2800"/>
    <n v="13"/>
    <n v="10"/>
    <n v="20"/>
    <n v="32760"/>
    <n v="30196.52"/>
    <n v="2563.4799999999996"/>
    <s v="YES"/>
    <x v="1"/>
    <x v="2"/>
  </r>
  <r>
    <s v="ORD00997"/>
    <x v="160"/>
    <x v="3"/>
    <x v="1"/>
    <x v="23"/>
    <x v="0"/>
    <x v="12"/>
    <n v="7000"/>
    <n v="8"/>
    <n v="10"/>
    <n v="10"/>
    <n v="50400"/>
    <n v="43974.37"/>
    <n v="6425.6299999999974"/>
    <s v="NO"/>
    <x v="1"/>
    <x v="1"/>
  </r>
  <r>
    <s v="ORD00998"/>
    <x v="174"/>
    <x v="0"/>
    <x v="1"/>
    <x v="19"/>
    <x v="0"/>
    <x v="12"/>
    <n v="3500"/>
    <n v="6"/>
    <n v="10"/>
    <n v="20"/>
    <n v="18900"/>
    <n v="17784.580000000002"/>
    <n v="1115.4199999999983"/>
    <s v="YES"/>
    <x v="1"/>
    <x v="2"/>
  </r>
  <r>
    <s v="ORD00999"/>
    <x v="55"/>
    <x v="2"/>
    <x v="5"/>
    <x v="18"/>
    <x v="5"/>
    <x v="13"/>
    <n v="18000"/>
    <n v="1"/>
    <n v="5"/>
    <n v="15"/>
    <n v="17100"/>
    <n v="15468.91"/>
    <n v="1631.0900000000001"/>
    <s v="YES"/>
    <x v="1"/>
    <x v="2"/>
  </r>
  <r>
    <s v="ORD01000"/>
    <x v="29"/>
    <x v="2"/>
    <x v="3"/>
    <x v="14"/>
    <x v="1"/>
    <x v="2"/>
    <n v="6500"/>
    <n v="2"/>
    <n v="15"/>
    <n v="5"/>
    <n v="11050"/>
    <n v="11414.3"/>
    <n v="-364.29999999999927"/>
    <s v="NO"/>
    <x v="0"/>
    <x v="0"/>
  </r>
  <r>
    <s v="ORD01001"/>
    <x v="167"/>
    <x v="0"/>
    <x v="5"/>
    <x v="4"/>
    <x v="2"/>
    <x v="4"/>
    <n v="15000"/>
    <n v="2"/>
    <n v="15"/>
    <n v="15"/>
    <n v="25500"/>
    <n v="21944.35"/>
    <n v="3555.6500000000015"/>
    <s v="NO"/>
    <x v="1"/>
    <x v="1"/>
  </r>
  <r>
    <s v="ORD01002"/>
    <x v="129"/>
    <x v="3"/>
    <x v="2"/>
    <x v="5"/>
    <x v="0"/>
    <x v="5"/>
    <n v="4500"/>
    <n v="2"/>
    <n v="15"/>
    <n v="0"/>
    <n v="7650"/>
    <n v="7664.6"/>
    <n v="-14.600000000000364"/>
    <s v="NO"/>
    <x v="0"/>
    <x v="0"/>
  </r>
  <r>
    <s v="ORD01003"/>
    <x v="123"/>
    <x v="3"/>
    <x v="5"/>
    <x v="6"/>
    <x v="2"/>
    <x v="6"/>
    <n v="4500"/>
    <n v="10"/>
    <n v="5"/>
    <n v="5"/>
    <n v="42750"/>
    <n v="41997.99"/>
    <n v="752.01000000000204"/>
    <s v="NO"/>
    <x v="1"/>
    <x v="1"/>
  </r>
  <r>
    <s v="ORD01004"/>
    <x v="20"/>
    <x v="0"/>
    <x v="3"/>
    <x v="10"/>
    <x v="1"/>
    <x v="9"/>
    <n v="1200"/>
    <n v="8"/>
    <n v="5"/>
    <n v="0"/>
    <n v="9120"/>
    <n v="8971.5300000000007"/>
    <n v="148.46999999999935"/>
    <s v="NO"/>
    <x v="1"/>
    <x v="1"/>
  </r>
  <r>
    <s v="ORD01005"/>
    <x v="163"/>
    <x v="3"/>
    <x v="4"/>
    <x v="20"/>
    <x v="6"/>
    <x v="14"/>
    <n v="12000"/>
    <n v="10"/>
    <n v="10"/>
    <n v="25"/>
    <n v="108000"/>
    <n v="110349.18"/>
    <n v="-2349.179999999993"/>
    <s v="YES"/>
    <x v="0"/>
    <x v="2"/>
  </r>
  <r>
    <s v="ORD01006"/>
    <x v="90"/>
    <x v="0"/>
    <x v="0"/>
    <x v="22"/>
    <x v="0"/>
    <x v="10"/>
    <n v="35000"/>
    <n v="6"/>
    <n v="15"/>
    <n v="5"/>
    <n v="178500"/>
    <n v="180461.18"/>
    <n v="-1961.179999999993"/>
    <s v="NO"/>
    <x v="0"/>
    <x v="0"/>
  </r>
  <r>
    <s v="ORD01007"/>
    <x v="4"/>
    <x v="1"/>
    <x v="0"/>
    <x v="17"/>
    <x v="1"/>
    <x v="1"/>
    <n v="1200"/>
    <n v="3"/>
    <n v="10"/>
    <n v="15"/>
    <n v="3240"/>
    <n v="3336.7"/>
    <n v="-96.699999999999818"/>
    <s v="YES"/>
    <x v="0"/>
    <x v="2"/>
  </r>
  <r>
    <s v="ORD01008"/>
    <x v="139"/>
    <x v="1"/>
    <x v="1"/>
    <x v="12"/>
    <x v="4"/>
    <x v="11"/>
    <n v="8000"/>
    <n v="8"/>
    <n v="15"/>
    <n v="15"/>
    <n v="54400"/>
    <n v="52892.81"/>
    <n v="1507.1900000000023"/>
    <s v="NO"/>
    <x v="1"/>
    <x v="1"/>
  </r>
  <r>
    <s v="ORD01009"/>
    <x v="12"/>
    <x v="1"/>
    <x v="4"/>
    <x v="5"/>
    <x v="0"/>
    <x v="5"/>
    <n v="4500"/>
    <n v="7"/>
    <n v="5"/>
    <n v="15"/>
    <n v="29925"/>
    <n v="27214.21"/>
    <n v="2710.7900000000009"/>
    <s v="YES"/>
    <x v="1"/>
    <x v="2"/>
  </r>
  <r>
    <s v="ORD01010"/>
    <x v="132"/>
    <x v="0"/>
    <x v="2"/>
    <x v="20"/>
    <x v="6"/>
    <x v="14"/>
    <n v="12000"/>
    <n v="15"/>
    <n v="10"/>
    <n v="15"/>
    <n v="162000"/>
    <n v="162099.23000000001"/>
    <n v="-99.230000000010477"/>
    <s v="YES"/>
    <x v="0"/>
    <x v="2"/>
  </r>
  <r>
    <s v="ORD01011"/>
    <x v="63"/>
    <x v="3"/>
    <x v="1"/>
    <x v="17"/>
    <x v="1"/>
    <x v="1"/>
    <n v="1200"/>
    <n v="8"/>
    <n v="10"/>
    <n v="0"/>
    <n v="8640"/>
    <n v="8900.39"/>
    <n v="-260.38999999999942"/>
    <s v="NO"/>
    <x v="0"/>
    <x v="0"/>
  </r>
  <r>
    <s v="ORD01012"/>
    <x v="62"/>
    <x v="2"/>
    <x v="5"/>
    <x v="8"/>
    <x v="1"/>
    <x v="3"/>
    <n v="2800"/>
    <n v="13"/>
    <n v="5"/>
    <n v="25"/>
    <n v="34580"/>
    <n v="30257.64"/>
    <n v="4322.3600000000006"/>
    <s v="YES"/>
    <x v="1"/>
    <x v="2"/>
  </r>
  <r>
    <s v="ORD01013"/>
    <x v="31"/>
    <x v="3"/>
    <x v="5"/>
    <x v="11"/>
    <x v="0"/>
    <x v="10"/>
    <n v="60000"/>
    <n v="14"/>
    <n v="5"/>
    <n v="20"/>
    <n v="798000"/>
    <n v="687574.35"/>
    <n v="110425.65000000002"/>
    <s v="YES"/>
    <x v="1"/>
    <x v="2"/>
  </r>
  <r>
    <s v="ORD01014"/>
    <x v="118"/>
    <x v="2"/>
    <x v="3"/>
    <x v="16"/>
    <x v="1"/>
    <x v="3"/>
    <n v="1500"/>
    <n v="4"/>
    <n v="15"/>
    <n v="0"/>
    <n v="5100"/>
    <n v="5301.96"/>
    <n v="-201.96000000000004"/>
    <s v="NO"/>
    <x v="0"/>
    <x v="0"/>
  </r>
  <r>
    <s v="ORD01015"/>
    <x v="172"/>
    <x v="0"/>
    <x v="5"/>
    <x v="21"/>
    <x v="6"/>
    <x v="14"/>
    <n v="3500"/>
    <n v="10"/>
    <n v="10"/>
    <n v="20"/>
    <n v="31500"/>
    <n v="29722.15"/>
    <n v="1777.8499999999985"/>
    <s v="YES"/>
    <x v="1"/>
    <x v="2"/>
  </r>
  <r>
    <s v="ORD01016"/>
    <x v="13"/>
    <x v="1"/>
    <x v="2"/>
    <x v="8"/>
    <x v="1"/>
    <x v="3"/>
    <n v="2800"/>
    <n v="12"/>
    <n v="5"/>
    <n v="25"/>
    <n v="31920"/>
    <n v="29106.3"/>
    <n v="2813.7000000000007"/>
    <s v="YES"/>
    <x v="1"/>
    <x v="2"/>
  </r>
  <r>
    <s v="ORD01017"/>
    <x v="121"/>
    <x v="2"/>
    <x v="2"/>
    <x v="4"/>
    <x v="2"/>
    <x v="4"/>
    <n v="15000"/>
    <n v="10"/>
    <n v="15"/>
    <n v="5"/>
    <n v="127500"/>
    <n v="118500.44"/>
    <n v="8999.5599999999977"/>
    <s v="NO"/>
    <x v="1"/>
    <x v="1"/>
  </r>
  <r>
    <s v="ORD01018"/>
    <x v="168"/>
    <x v="1"/>
    <x v="1"/>
    <x v="3"/>
    <x v="1"/>
    <x v="3"/>
    <n v="500"/>
    <n v="11"/>
    <n v="5"/>
    <n v="15"/>
    <n v="5225"/>
    <n v="4946.3"/>
    <n v="278.69999999999982"/>
    <s v="YES"/>
    <x v="1"/>
    <x v="2"/>
  </r>
  <r>
    <s v="ORD01019"/>
    <x v="85"/>
    <x v="0"/>
    <x v="3"/>
    <x v="3"/>
    <x v="1"/>
    <x v="3"/>
    <n v="500"/>
    <n v="11"/>
    <n v="15"/>
    <n v="10"/>
    <n v="4675"/>
    <n v="4244.55"/>
    <n v="430.44999999999982"/>
    <s v="NO"/>
    <x v="1"/>
    <x v="1"/>
  </r>
  <r>
    <s v="ORD01020"/>
    <x v="122"/>
    <x v="3"/>
    <x v="5"/>
    <x v="11"/>
    <x v="0"/>
    <x v="10"/>
    <n v="60000"/>
    <n v="14"/>
    <n v="5"/>
    <n v="0"/>
    <n v="798000"/>
    <n v="685211.26"/>
    <n v="112788.73999999999"/>
    <s v="NO"/>
    <x v="1"/>
    <x v="1"/>
  </r>
  <r>
    <s v="ORD01021"/>
    <x v="91"/>
    <x v="3"/>
    <x v="3"/>
    <x v="18"/>
    <x v="5"/>
    <x v="13"/>
    <n v="18000"/>
    <n v="7"/>
    <n v="10"/>
    <n v="20"/>
    <n v="113400"/>
    <n v="115335.19"/>
    <n v="-1935.1900000000023"/>
    <s v="YES"/>
    <x v="0"/>
    <x v="2"/>
  </r>
  <r>
    <s v="ORD01022"/>
    <x v="77"/>
    <x v="3"/>
    <x v="4"/>
    <x v="5"/>
    <x v="0"/>
    <x v="5"/>
    <n v="4500"/>
    <n v="10"/>
    <n v="15"/>
    <n v="0"/>
    <n v="38250"/>
    <n v="32734.76"/>
    <n v="5515.2400000000016"/>
    <s v="NO"/>
    <x v="1"/>
    <x v="1"/>
  </r>
  <r>
    <s v="ORD01023"/>
    <x v="38"/>
    <x v="1"/>
    <x v="3"/>
    <x v="20"/>
    <x v="6"/>
    <x v="14"/>
    <n v="12000"/>
    <n v="12"/>
    <n v="15"/>
    <n v="20"/>
    <n v="122400"/>
    <n v="124630.47"/>
    <n v="-2230.4700000000012"/>
    <s v="YES"/>
    <x v="0"/>
    <x v="2"/>
  </r>
  <r>
    <s v="ORD01024"/>
    <x v="43"/>
    <x v="2"/>
    <x v="1"/>
    <x v="20"/>
    <x v="6"/>
    <x v="14"/>
    <n v="12000"/>
    <n v="5"/>
    <n v="10"/>
    <n v="0"/>
    <n v="54000"/>
    <n v="46962.43"/>
    <n v="7037.57"/>
    <s v="NO"/>
    <x v="1"/>
    <x v="1"/>
  </r>
  <r>
    <s v="ORD01025"/>
    <x v="139"/>
    <x v="0"/>
    <x v="2"/>
    <x v="23"/>
    <x v="0"/>
    <x v="12"/>
    <n v="7000"/>
    <n v="2"/>
    <n v="15"/>
    <n v="15"/>
    <n v="11900"/>
    <n v="11144.18"/>
    <n v="755.81999999999971"/>
    <s v="NO"/>
    <x v="1"/>
    <x v="1"/>
  </r>
  <r>
    <s v="ORD01026"/>
    <x v="45"/>
    <x v="3"/>
    <x v="1"/>
    <x v="4"/>
    <x v="2"/>
    <x v="4"/>
    <n v="15000"/>
    <n v="1"/>
    <n v="5"/>
    <n v="15"/>
    <n v="14250"/>
    <n v="14451.49"/>
    <n v="-201.48999999999978"/>
    <s v="YES"/>
    <x v="0"/>
    <x v="2"/>
  </r>
  <r>
    <s v="ORD01027"/>
    <x v="114"/>
    <x v="3"/>
    <x v="4"/>
    <x v="18"/>
    <x v="5"/>
    <x v="13"/>
    <n v="18000"/>
    <n v="7"/>
    <n v="15"/>
    <n v="5"/>
    <n v="107100"/>
    <n v="97037.1"/>
    <n v="10062.899999999994"/>
    <s v="NO"/>
    <x v="1"/>
    <x v="1"/>
  </r>
  <r>
    <s v="ORD01028"/>
    <x v="147"/>
    <x v="0"/>
    <x v="1"/>
    <x v="19"/>
    <x v="0"/>
    <x v="12"/>
    <n v="3500"/>
    <n v="8"/>
    <n v="5"/>
    <n v="0"/>
    <n v="26600"/>
    <n v="26425.42"/>
    <n v="174.58000000000175"/>
    <s v="NO"/>
    <x v="1"/>
    <x v="1"/>
  </r>
  <r>
    <s v="ORD01029"/>
    <x v="146"/>
    <x v="1"/>
    <x v="3"/>
    <x v="4"/>
    <x v="2"/>
    <x v="4"/>
    <n v="15000"/>
    <n v="5"/>
    <n v="5"/>
    <n v="10"/>
    <n v="71250"/>
    <n v="64394.25"/>
    <n v="6855.75"/>
    <s v="YES"/>
    <x v="1"/>
    <x v="2"/>
  </r>
  <r>
    <s v="ORD01030"/>
    <x v="44"/>
    <x v="0"/>
    <x v="5"/>
    <x v="9"/>
    <x v="3"/>
    <x v="8"/>
    <n v="4000"/>
    <n v="2"/>
    <n v="15"/>
    <n v="25"/>
    <n v="6800"/>
    <n v="5804.08"/>
    <n v="995.92000000000007"/>
    <s v="YES"/>
    <x v="1"/>
    <x v="2"/>
  </r>
  <r>
    <s v="ORD01031"/>
    <x v="10"/>
    <x v="3"/>
    <x v="2"/>
    <x v="0"/>
    <x v="0"/>
    <x v="0"/>
    <n v="6000"/>
    <n v="2"/>
    <n v="5"/>
    <n v="0"/>
    <n v="11400"/>
    <n v="10298.35"/>
    <n v="1101.6499999999996"/>
    <s v="NO"/>
    <x v="1"/>
    <x v="1"/>
  </r>
  <r>
    <s v="ORD01032"/>
    <x v="114"/>
    <x v="2"/>
    <x v="3"/>
    <x v="0"/>
    <x v="0"/>
    <x v="0"/>
    <n v="6000"/>
    <n v="15"/>
    <n v="15"/>
    <n v="10"/>
    <n v="76500"/>
    <n v="80214.62"/>
    <n v="-3714.6199999999953"/>
    <s v="NO"/>
    <x v="0"/>
    <x v="0"/>
  </r>
  <r>
    <s v="ORD01033"/>
    <x v="131"/>
    <x v="3"/>
    <x v="4"/>
    <x v="20"/>
    <x v="6"/>
    <x v="14"/>
    <n v="12000"/>
    <n v="7"/>
    <n v="15"/>
    <n v="20"/>
    <n v="71400"/>
    <n v="64515.99"/>
    <n v="6884.010000000002"/>
    <s v="YES"/>
    <x v="1"/>
    <x v="2"/>
  </r>
  <r>
    <s v="ORD01034"/>
    <x v="163"/>
    <x v="3"/>
    <x v="3"/>
    <x v="17"/>
    <x v="1"/>
    <x v="1"/>
    <n v="1200"/>
    <n v="3"/>
    <n v="15"/>
    <n v="25"/>
    <n v="3060"/>
    <n v="2839.11"/>
    <n v="220.88999999999987"/>
    <s v="YES"/>
    <x v="1"/>
    <x v="2"/>
  </r>
  <r>
    <s v="ORD01035"/>
    <x v="33"/>
    <x v="0"/>
    <x v="5"/>
    <x v="8"/>
    <x v="1"/>
    <x v="3"/>
    <n v="2800"/>
    <n v="2"/>
    <n v="15"/>
    <n v="10"/>
    <n v="4760"/>
    <n v="4494.68"/>
    <n v="265.31999999999971"/>
    <s v="NO"/>
    <x v="1"/>
    <x v="1"/>
  </r>
  <r>
    <s v="ORD01036"/>
    <x v="127"/>
    <x v="1"/>
    <x v="4"/>
    <x v="3"/>
    <x v="1"/>
    <x v="3"/>
    <n v="500"/>
    <n v="7"/>
    <n v="5"/>
    <n v="20"/>
    <n v="3325"/>
    <n v="3251.35"/>
    <n v="73.650000000000091"/>
    <s v="YES"/>
    <x v="1"/>
    <x v="2"/>
  </r>
  <r>
    <s v="ORD01037"/>
    <x v="117"/>
    <x v="2"/>
    <x v="0"/>
    <x v="21"/>
    <x v="6"/>
    <x v="14"/>
    <n v="3500"/>
    <n v="7"/>
    <n v="15"/>
    <n v="5"/>
    <n v="20825"/>
    <n v="21031.63"/>
    <n v="-206.63000000000102"/>
    <s v="NO"/>
    <x v="0"/>
    <x v="0"/>
  </r>
  <r>
    <s v="ORD01038"/>
    <x v="39"/>
    <x v="0"/>
    <x v="1"/>
    <x v="10"/>
    <x v="1"/>
    <x v="9"/>
    <n v="1200"/>
    <n v="12"/>
    <n v="15"/>
    <n v="0"/>
    <n v="12240"/>
    <n v="11151.88"/>
    <n v="1088.1200000000008"/>
    <s v="NO"/>
    <x v="1"/>
    <x v="1"/>
  </r>
  <r>
    <s v="ORD01039"/>
    <x v="149"/>
    <x v="1"/>
    <x v="5"/>
    <x v="2"/>
    <x v="1"/>
    <x v="2"/>
    <n v="1200"/>
    <n v="7"/>
    <n v="15"/>
    <n v="10"/>
    <n v="7140"/>
    <n v="6571.98"/>
    <n v="568.02000000000044"/>
    <s v="NO"/>
    <x v="1"/>
    <x v="1"/>
  </r>
  <r>
    <s v="ORD01040"/>
    <x v="19"/>
    <x v="0"/>
    <x v="0"/>
    <x v="14"/>
    <x v="1"/>
    <x v="2"/>
    <n v="6500"/>
    <n v="9"/>
    <n v="10"/>
    <n v="0"/>
    <n v="52650"/>
    <n v="51882.47"/>
    <n v="767.52999999999884"/>
    <s v="NO"/>
    <x v="1"/>
    <x v="1"/>
  </r>
  <r>
    <s v="ORD01041"/>
    <x v="51"/>
    <x v="2"/>
    <x v="3"/>
    <x v="16"/>
    <x v="1"/>
    <x v="3"/>
    <n v="1500"/>
    <n v="1"/>
    <n v="15"/>
    <n v="10"/>
    <n v="1275"/>
    <n v="1264.99"/>
    <n v="10.009999999999991"/>
    <s v="NO"/>
    <x v="1"/>
    <x v="1"/>
  </r>
  <r>
    <s v="ORD01042"/>
    <x v="92"/>
    <x v="3"/>
    <x v="3"/>
    <x v="6"/>
    <x v="2"/>
    <x v="6"/>
    <n v="4500"/>
    <n v="2"/>
    <n v="15"/>
    <n v="25"/>
    <n v="7650"/>
    <n v="7574.58"/>
    <n v="75.420000000000073"/>
    <s v="YES"/>
    <x v="1"/>
    <x v="2"/>
  </r>
  <r>
    <s v="ORD01043"/>
    <x v="32"/>
    <x v="0"/>
    <x v="5"/>
    <x v="0"/>
    <x v="0"/>
    <x v="0"/>
    <n v="6000"/>
    <n v="10"/>
    <n v="15"/>
    <n v="25"/>
    <n v="51000"/>
    <n v="50242.19"/>
    <n v="757.80999999999767"/>
    <s v="YES"/>
    <x v="1"/>
    <x v="2"/>
  </r>
  <r>
    <s v="ORD01044"/>
    <x v="21"/>
    <x v="0"/>
    <x v="5"/>
    <x v="12"/>
    <x v="4"/>
    <x v="11"/>
    <n v="8000"/>
    <n v="7"/>
    <n v="10"/>
    <n v="0"/>
    <n v="50400"/>
    <n v="52237.74"/>
    <n v="-1837.739999999998"/>
    <s v="NO"/>
    <x v="0"/>
    <x v="0"/>
  </r>
  <r>
    <s v="ORD01045"/>
    <x v="162"/>
    <x v="1"/>
    <x v="4"/>
    <x v="6"/>
    <x v="2"/>
    <x v="6"/>
    <n v="4500"/>
    <n v="9"/>
    <n v="5"/>
    <n v="20"/>
    <n v="38475"/>
    <n v="36157.31"/>
    <n v="2317.6900000000023"/>
    <s v="YES"/>
    <x v="1"/>
    <x v="2"/>
  </r>
  <r>
    <s v="ORD01046"/>
    <x v="172"/>
    <x v="2"/>
    <x v="1"/>
    <x v="6"/>
    <x v="2"/>
    <x v="6"/>
    <n v="4500"/>
    <n v="9"/>
    <n v="5"/>
    <n v="20"/>
    <n v="38475"/>
    <n v="35435.5"/>
    <n v="3039.5"/>
    <s v="YES"/>
    <x v="1"/>
    <x v="2"/>
  </r>
  <r>
    <s v="ORD01047"/>
    <x v="8"/>
    <x v="2"/>
    <x v="4"/>
    <x v="20"/>
    <x v="6"/>
    <x v="14"/>
    <n v="12000"/>
    <n v="9"/>
    <n v="15"/>
    <n v="20"/>
    <n v="91800"/>
    <n v="84880.4"/>
    <n v="6919.6000000000058"/>
    <s v="YES"/>
    <x v="1"/>
    <x v="2"/>
  </r>
  <r>
    <s v="ORD01048"/>
    <x v="140"/>
    <x v="2"/>
    <x v="0"/>
    <x v="10"/>
    <x v="1"/>
    <x v="9"/>
    <n v="1200"/>
    <n v="10"/>
    <n v="10"/>
    <n v="0"/>
    <n v="10800"/>
    <n v="9415.7800000000007"/>
    <n v="1384.2199999999993"/>
    <s v="NO"/>
    <x v="1"/>
    <x v="1"/>
  </r>
  <r>
    <s v="ORD01049"/>
    <x v="16"/>
    <x v="0"/>
    <x v="5"/>
    <x v="5"/>
    <x v="0"/>
    <x v="5"/>
    <n v="4500"/>
    <n v="1"/>
    <n v="10"/>
    <n v="20"/>
    <n v="4050"/>
    <n v="3697.93"/>
    <n v="352.07000000000016"/>
    <s v="YES"/>
    <x v="1"/>
    <x v="2"/>
  </r>
  <r>
    <s v="ORD01050"/>
    <x v="28"/>
    <x v="2"/>
    <x v="1"/>
    <x v="3"/>
    <x v="1"/>
    <x v="3"/>
    <n v="500"/>
    <n v="5"/>
    <n v="5"/>
    <n v="25"/>
    <n v="2375"/>
    <n v="2467.35"/>
    <n v="-92.349999999999909"/>
    <s v="YES"/>
    <x v="0"/>
    <x v="2"/>
  </r>
  <r>
    <s v="ORD01051"/>
    <x v="22"/>
    <x v="1"/>
    <x v="5"/>
    <x v="16"/>
    <x v="1"/>
    <x v="3"/>
    <n v="1500"/>
    <n v="8"/>
    <n v="10"/>
    <n v="10"/>
    <n v="10800"/>
    <n v="9931.1299999999992"/>
    <n v="868.8700000000008"/>
    <s v="NO"/>
    <x v="1"/>
    <x v="1"/>
  </r>
  <r>
    <s v="ORD01052"/>
    <x v="107"/>
    <x v="2"/>
    <x v="4"/>
    <x v="4"/>
    <x v="2"/>
    <x v="4"/>
    <n v="15000"/>
    <n v="2"/>
    <n v="15"/>
    <n v="25"/>
    <n v="25500"/>
    <n v="26183.97"/>
    <n v="-683.97000000000116"/>
    <s v="YES"/>
    <x v="0"/>
    <x v="2"/>
  </r>
  <r>
    <s v="ORD01053"/>
    <x v="37"/>
    <x v="3"/>
    <x v="5"/>
    <x v="19"/>
    <x v="0"/>
    <x v="12"/>
    <n v="3500"/>
    <n v="6"/>
    <n v="15"/>
    <n v="0"/>
    <n v="17850"/>
    <n v="17267.330000000002"/>
    <n v="582.66999999999825"/>
    <s v="NO"/>
    <x v="1"/>
    <x v="1"/>
  </r>
  <r>
    <s v="ORD01054"/>
    <x v="12"/>
    <x v="0"/>
    <x v="1"/>
    <x v="15"/>
    <x v="2"/>
    <x v="6"/>
    <n v="2500"/>
    <n v="9"/>
    <n v="5"/>
    <n v="15"/>
    <n v="21375"/>
    <n v="21362.65"/>
    <n v="12.349999999998545"/>
    <s v="YES"/>
    <x v="1"/>
    <x v="2"/>
  </r>
  <r>
    <s v="ORD01055"/>
    <x v="113"/>
    <x v="1"/>
    <x v="3"/>
    <x v="2"/>
    <x v="1"/>
    <x v="2"/>
    <n v="1200"/>
    <n v="11"/>
    <n v="10"/>
    <n v="10"/>
    <n v="11880"/>
    <n v="11737.04"/>
    <n v="142.95999999999913"/>
    <s v="NO"/>
    <x v="1"/>
    <x v="1"/>
  </r>
  <r>
    <s v="ORD01056"/>
    <x v="30"/>
    <x v="2"/>
    <x v="0"/>
    <x v="1"/>
    <x v="1"/>
    <x v="1"/>
    <n v="1800"/>
    <n v="2"/>
    <n v="5"/>
    <n v="25"/>
    <n v="3420"/>
    <n v="3261.62"/>
    <n v="158.38000000000011"/>
    <s v="YES"/>
    <x v="1"/>
    <x v="2"/>
  </r>
  <r>
    <s v="ORD01057"/>
    <x v="106"/>
    <x v="3"/>
    <x v="3"/>
    <x v="9"/>
    <x v="3"/>
    <x v="8"/>
    <n v="4000"/>
    <n v="10"/>
    <n v="5"/>
    <n v="20"/>
    <n v="38000"/>
    <n v="35260.47"/>
    <n v="2739.5299999999988"/>
    <s v="YES"/>
    <x v="1"/>
    <x v="2"/>
  </r>
  <r>
    <s v="ORD01058"/>
    <x v="167"/>
    <x v="0"/>
    <x v="5"/>
    <x v="0"/>
    <x v="0"/>
    <x v="0"/>
    <n v="6000"/>
    <n v="3"/>
    <n v="5"/>
    <n v="20"/>
    <n v="17100"/>
    <n v="16036.87"/>
    <n v="1063.1299999999992"/>
    <s v="YES"/>
    <x v="1"/>
    <x v="2"/>
  </r>
  <r>
    <s v="ORD01059"/>
    <x v="91"/>
    <x v="2"/>
    <x v="1"/>
    <x v="7"/>
    <x v="2"/>
    <x v="7"/>
    <n v="18000"/>
    <n v="7"/>
    <n v="15"/>
    <n v="10"/>
    <n v="107100"/>
    <n v="110270.63"/>
    <n v="-3170.6300000000047"/>
    <s v="NO"/>
    <x v="0"/>
    <x v="0"/>
  </r>
  <r>
    <s v="ORD01060"/>
    <x v="174"/>
    <x v="3"/>
    <x v="1"/>
    <x v="8"/>
    <x v="1"/>
    <x v="3"/>
    <n v="2800"/>
    <n v="13"/>
    <n v="15"/>
    <n v="0"/>
    <n v="30940"/>
    <n v="32238.52"/>
    <n v="-1298.5200000000004"/>
    <s v="NO"/>
    <x v="0"/>
    <x v="0"/>
  </r>
  <r>
    <s v="ORD01061"/>
    <x v="116"/>
    <x v="1"/>
    <x v="3"/>
    <x v="23"/>
    <x v="0"/>
    <x v="12"/>
    <n v="7000"/>
    <n v="15"/>
    <n v="15"/>
    <n v="15"/>
    <n v="89250"/>
    <n v="91596.96"/>
    <n v="-2346.9600000000064"/>
    <s v="NO"/>
    <x v="0"/>
    <x v="0"/>
  </r>
  <r>
    <s v="ORD01062"/>
    <x v="94"/>
    <x v="3"/>
    <x v="1"/>
    <x v="3"/>
    <x v="1"/>
    <x v="3"/>
    <n v="500"/>
    <n v="14"/>
    <n v="15"/>
    <n v="5"/>
    <n v="5950"/>
    <n v="5901.99"/>
    <n v="48.010000000000218"/>
    <s v="NO"/>
    <x v="1"/>
    <x v="1"/>
  </r>
  <r>
    <s v="ORD01063"/>
    <x v="13"/>
    <x v="0"/>
    <x v="3"/>
    <x v="13"/>
    <x v="0"/>
    <x v="12"/>
    <n v="8000"/>
    <n v="2"/>
    <n v="15"/>
    <n v="5"/>
    <n v="13600"/>
    <n v="13170.22"/>
    <n v="429.78000000000065"/>
    <s v="NO"/>
    <x v="1"/>
    <x v="1"/>
  </r>
  <r>
    <s v="ORD01064"/>
    <x v="158"/>
    <x v="3"/>
    <x v="0"/>
    <x v="12"/>
    <x v="4"/>
    <x v="11"/>
    <n v="8000"/>
    <n v="14"/>
    <n v="5"/>
    <n v="15"/>
    <n v="106400"/>
    <n v="96628"/>
    <n v="9772"/>
    <s v="YES"/>
    <x v="1"/>
    <x v="2"/>
  </r>
  <r>
    <s v="ORD01065"/>
    <x v="22"/>
    <x v="2"/>
    <x v="0"/>
    <x v="9"/>
    <x v="3"/>
    <x v="8"/>
    <n v="4000"/>
    <n v="14"/>
    <n v="5"/>
    <n v="5"/>
    <n v="53200"/>
    <n v="47908.92"/>
    <n v="5291.0800000000017"/>
    <s v="NO"/>
    <x v="1"/>
    <x v="1"/>
  </r>
  <r>
    <s v="ORD01066"/>
    <x v="41"/>
    <x v="2"/>
    <x v="0"/>
    <x v="2"/>
    <x v="1"/>
    <x v="2"/>
    <n v="1200"/>
    <n v="15"/>
    <n v="5"/>
    <n v="5"/>
    <n v="17100"/>
    <n v="17055.13"/>
    <n v="44.869999999998981"/>
    <s v="NO"/>
    <x v="1"/>
    <x v="1"/>
  </r>
  <r>
    <s v="ORD01067"/>
    <x v="149"/>
    <x v="3"/>
    <x v="0"/>
    <x v="9"/>
    <x v="3"/>
    <x v="8"/>
    <n v="4000"/>
    <n v="1"/>
    <n v="10"/>
    <n v="10"/>
    <n v="3600"/>
    <n v="3186.55"/>
    <n v="413.44999999999982"/>
    <s v="NO"/>
    <x v="1"/>
    <x v="1"/>
  </r>
  <r>
    <s v="ORD01068"/>
    <x v="102"/>
    <x v="2"/>
    <x v="5"/>
    <x v="15"/>
    <x v="2"/>
    <x v="6"/>
    <n v="2500"/>
    <n v="8"/>
    <n v="10"/>
    <n v="10"/>
    <n v="18000"/>
    <n v="15482.99"/>
    <n v="2517.0100000000002"/>
    <s v="NO"/>
    <x v="1"/>
    <x v="1"/>
  </r>
  <r>
    <s v="ORD01069"/>
    <x v="172"/>
    <x v="3"/>
    <x v="5"/>
    <x v="9"/>
    <x v="3"/>
    <x v="8"/>
    <n v="4000"/>
    <n v="14"/>
    <n v="15"/>
    <n v="20"/>
    <n v="47600"/>
    <n v="46666.2"/>
    <n v="933.80000000000291"/>
    <s v="YES"/>
    <x v="1"/>
    <x v="2"/>
  </r>
  <r>
    <s v="ORD01070"/>
    <x v="139"/>
    <x v="2"/>
    <x v="0"/>
    <x v="7"/>
    <x v="2"/>
    <x v="7"/>
    <n v="18000"/>
    <n v="11"/>
    <n v="10"/>
    <n v="15"/>
    <n v="178200"/>
    <n v="169304.06"/>
    <n v="8895.9400000000023"/>
    <s v="YES"/>
    <x v="1"/>
    <x v="2"/>
  </r>
  <r>
    <s v="ORD01071"/>
    <x v="120"/>
    <x v="3"/>
    <x v="0"/>
    <x v="1"/>
    <x v="1"/>
    <x v="1"/>
    <n v="1800"/>
    <n v="4"/>
    <n v="5"/>
    <n v="20"/>
    <n v="6840"/>
    <n v="6802.76"/>
    <n v="37.239999999999782"/>
    <s v="YES"/>
    <x v="1"/>
    <x v="2"/>
  </r>
  <r>
    <s v="ORD01072"/>
    <x v="21"/>
    <x v="2"/>
    <x v="5"/>
    <x v="20"/>
    <x v="6"/>
    <x v="14"/>
    <n v="12000"/>
    <n v="6"/>
    <n v="10"/>
    <n v="0"/>
    <n v="64800"/>
    <n v="59826.080000000002"/>
    <n v="4973.9199999999983"/>
    <s v="NO"/>
    <x v="1"/>
    <x v="1"/>
  </r>
  <r>
    <s v="ORD01073"/>
    <x v="91"/>
    <x v="3"/>
    <x v="2"/>
    <x v="8"/>
    <x v="1"/>
    <x v="3"/>
    <n v="2800"/>
    <n v="8"/>
    <n v="10"/>
    <n v="0"/>
    <n v="20160"/>
    <n v="19874.18"/>
    <n v="285.81999999999971"/>
    <s v="NO"/>
    <x v="1"/>
    <x v="1"/>
  </r>
  <r>
    <s v="ORD01074"/>
    <x v="37"/>
    <x v="2"/>
    <x v="2"/>
    <x v="12"/>
    <x v="4"/>
    <x v="11"/>
    <n v="8000"/>
    <n v="12"/>
    <n v="5"/>
    <n v="5"/>
    <n v="91200"/>
    <n v="90578.41"/>
    <n v="621.58999999999651"/>
    <s v="NO"/>
    <x v="1"/>
    <x v="1"/>
  </r>
  <r>
    <s v="ORD01075"/>
    <x v="88"/>
    <x v="0"/>
    <x v="3"/>
    <x v="11"/>
    <x v="0"/>
    <x v="10"/>
    <n v="60000"/>
    <n v="2"/>
    <n v="5"/>
    <n v="20"/>
    <n v="114000"/>
    <n v="104958.9"/>
    <n v="9041.1000000000058"/>
    <s v="YES"/>
    <x v="1"/>
    <x v="2"/>
  </r>
  <r>
    <s v="ORD01076"/>
    <x v="26"/>
    <x v="3"/>
    <x v="4"/>
    <x v="0"/>
    <x v="0"/>
    <x v="0"/>
    <n v="6000"/>
    <n v="7"/>
    <n v="15"/>
    <n v="25"/>
    <n v="35700"/>
    <n v="30565.85"/>
    <n v="5134.1500000000015"/>
    <s v="YES"/>
    <x v="1"/>
    <x v="2"/>
  </r>
  <r>
    <s v="ORD01077"/>
    <x v="41"/>
    <x v="3"/>
    <x v="2"/>
    <x v="7"/>
    <x v="2"/>
    <x v="7"/>
    <n v="18000"/>
    <n v="6"/>
    <n v="10"/>
    <n v="25"/>
    <n v="97200"/>
    <n v="94781.67"/>
    <n v="2418.3300000000017"/>
    <s v="YES"/>
    <x v="1"/>
    <x v="2"/>
  </r>
  <r>
    <s v="ORD01078"/>
    <x v="97"/>
    <x v="3"/>
    <x v="3"/>
    <x v="2"/>
    <x v="1"/>
    <x v="2"/>
    <n v="1200"/>
    <n v="3"/>
    <n v="15"/>
    <n v="20"/>
    <n v="3060"/>
    <n v="2754.36"/>
    <n v="305.63999999999987"/>
    <s v="YES"/>
    <x v="1"/>
    <x v="2"/>
  </r>
  <r>
    <s v="ORD01079"/>
    <x v="87"/>
    <x v="2"/>
    <x v="2"/>
    <x v="1"/>
    <x v="1"/>
    <x v="1"/>
    <n v="1800"/>
    <n v="12"/>
    <n v="10"/>
    <n v="25"/>
    <n v="19440"/>
    <n v="18619.060000000001"/>
    <n v="820.93999999999869"/>
    <s v="YES"/>
    <x v="1"/>
    <x v="2"/>
  </r>
  <r>
    <s v="ORD01080"/>
    <x v="118"/>
    <x v="3"/>
    <x v="2"/>
    <x v="21"/>
    <x v="6"/>
    <x v="14"/>
    <n v="3500"/>
    <n v="15"/>
    <n v="10"/>
    <n v="0"/>
    <n v="47250"/>
    <n v="41059.89"/>
    <n v="6190.1100000000006"/>
    <s v="NO"/>
    <x v="1"/>
    <x v="1"/>
  </r>
  <r>
    <s v="ORD01081"/>
    <x v="18"/>
    <x v="1"/>
    <x v="2"/>
    <x v="22"/>
    <x v="0"/>
    <x v="10"/>
    <n v="35000"/>
    <n v="1"/>
    <n v="5"/>
    <n v="25"/>
    <n v="33250"/>
    <n v="29709.79"/>
    <n v="3540.2099999999991"/>
    <s v="YES"/>
    <x v="1"/>
    <x v="2"/>
  </r>
  <r>
    <s v="ORD01082"/>
    <x v="127"/>
    <x v="3"/>
    <x v="2"/>
    <x v="5"/>
    <x v="0"/>
    <x v="5"/>
    <n v="4500"/>
    <n v="3"/>
    <n v="5"/>
    <n v="10"/>
    <n v="12825"/>
    <n v="12871.56"/>
    <n v="-46.559999999999491"/>
    <s v="YES"/>
    <x v="0"/>
    <x v="2"/>
  </r>
  <r>
    <s v="ORD01083"/>
    <x v="149"/>
    <x v="3"/>
    <x v="3"/>
    <x v="7"/>
    <x v="2"/>
    <x v="7"/>
    <n v="18000"/>
    <n v="13"/>
    <n v="15"/>
    <n v="0"/>
    <n v="198900"/>
    <n v="197826.04"/>
    <n v="1073.9599999999919"/>
    <s v="NO"/>
    <x v="1"/>
    <x v="1"/>
  </r>
  <r>
    <s v="ORD01084"/>
    <x v="17"/>
    <x v="1"/>
    <x v="3"/>
    <x v="22"/>
    <x v="0"/>
    <x v="10"/>
    <n v="35000"/>
    <n v="1"/>
    <n v="15"/>
    <n v="0"/>
    <n v="29750"/>
    <n v="26683.39"/>
    <n v="3066.6100000000006"/>
    <s v="NO"/>
    <x v="1"/>
    <x v="1"/>
  </r>
  <r>
    <s v="ORD01085"/>
    <x v="19"/>
    <x v="3"/>
    <x v="3"/>
    <x v="12"/>
    <x v="4"/>
    <x v="11"/>
    <n v="8000"/>
    <n v="12"/>
    <n v="10"/>
    <n v="20"/>
    <n v="86400"/>
    <n v="75548.55"/>
    <n v="10851.449999999997"/>
    <s v="YES"/>
    <x v="1"/>
    <x v="2"/>
  </r>
  <r>
    <s v="ORD01086"/>
    <x v="31"/>
    <x v="1"/>
    <x v="1"/>
    <x v="4"/>
    <x v="2"/>
    <x v="4"/>
    <n v="15000"/>
    <n v="11"/>
    <n v="5"/>
    <n v="5"/>
    <n v="156750"/>
    <n v="137059.79"/>
    <n v="19690.209999999992"/>
    <s v="NO"/>
    <x v="1"/>
    <x v="1"/>
  </r>
  <r>
    <s v="ORD01087"/>
    <x v="47"/>
    <x v="0"/>
    <x v="0"/>
    <x v="21"/>
    <x v="6"/>
    <x v="14"/>
    <n v="3500"/>
    <n v="8"/>
    <n v="5"/>
    <n v="10"/>
    <n v="26600"/>
    <n v="27273.09"/>
    <n v="-673.09000000000015"/>
    <s v="YES"/>
    <x v="0"/>
    <x v="2"/>
  </r>
  <r>
    <s v="ORD01088"/>
    <x v="152"/>
    <x v="3"/>
    <x v="1"/>
    <x v="12"/>
    <x v="4"/>
    <x v="11"/>
    <n v="8000"/>
    <n v="13"/>
    <n v="5"/>
    <n v="20"/>
    <n v="98800"/>
    <n v="100616.91"/>
    <n v="-1816.9100000000035"/>
    <s v="YES"/>
    <x v="0"/>
    <x v="2"/>
  </r>
  <r>
    <s v="ORD01089"/>
    <x v="13"/>
    <x v="1"/>
    <x v="4"/>
    <x v="3"/>
    <x v="1"/>
    <x v="3"/>
    <n v="500"/>
    <n v="10"/>
    <n v="10"/>
    <n v="20"/>
    <n v="4500"/>
    <n v="4370.05"/>
    <n v="129.94999999999982"/>
    <s v="YES"/>
    <x v="1"/>
    <x v="2"/>
  </r>
  <r>
    <s v="ORD01090"/>
    <x v="146"/>
    <x v="0"/>
    <x v="3"/>
    <x v="8"/>
    <x v="1"/>
    <x v="3"/>
    <n v="2800"/>
    <n v="7"/>
    <n v="10"/>
    <n v="10"/>
    <n v="17640"/>
    <n v="18442.43"/>
    <n v="-802.43000000000029"/>
    <s v="NO"/>
    <x v="0"/>
    <x v="0"/>
  </r>
  <r>
    <s v="ORD01091"/>
    <x v="174"/>
    <x v="1"/>
    <x v="2"/>
    <x v="19"/>
    <x v="0"/>
    <x v="12"/>
    <n v="3500"/>
    <n v="7"/>
    <n v="15"/>
    <n v="10"/>
    <n v="20825"/>
    <n v="19659.5"/>
    <n v="1165.5"/>
    <s v="NO"/>
    <x v="1"/>
    <x v="1"/>
  </r>
  <r>
    <s v="ORD01092"/>
    <x v="57"/>
    <x v="0"/>
    <x v="2"/>
    <x v="11"/>
    <x v="0"/>
    <x v="10"/>
    <n v="60000"/>
    <n v="7"/>
    <n v="5"/>
    <n v="5"/>
    <n v="399000"/>
    <n v="359716.16"/>
    <n v="39283.840000000026"/>
    <s v="NO"/>
    <x v="1"/>
    <x v="1"/>
  </r>
  <r>
    <s v="ORD01093"/>
    <x v="172"/>
    <x v="3"/>
    <x v="1"/>
    <x v="4"/>
    <x v="2"/>
    <x v="4"/>
    <n v="15000"/>
    <n v="6"/>
    <n v="5"/>
    <n v="15"/>
    <n v="85500"/>
    <n v="73691.75"/>
    <n v="11808.25"/>
    <s v="YES"/>
    <x v="1"/>
    <x v="2"/>
  </r>
  <r>
    <s v="ORD01094"/>
    <x v="172"/>
    <x v="1"/>
    <x v="4"/>
    <x v="8"/>
    <x v="1"/>
    <x v="3"/>
    <n v="2800"/>
    <n v="7"/>
    <n v="15"/>
    <n v="10"/>
    <n v="16660"/>
    <n v="17268.61"/>
    <n v="-608.61000000000058"/>
    <s v="NO"/>
    <x v="0"/>
    <x v="0"/>
  </r>
  <r>
    <s v="ORD01095"/>
    <x v="110"/>
    <x v="0"/>
    <x v="0"/>
    <x v="19"/>
    <x v="0"/>
    <x v="12"/>
    <n v="3500"/>
    <n v="13"/>
    <n v="15"/>
    <n v="10"/>
    <n v="38675"/>
    <n v="40416.22"/>
    <n v="-1741.2200000000012"/>
    <s v="NO"/>
    <x v="0"/>
    <x v="0"/>
  </r>
  <r>
    <s v="ORD01096"/>
    <x v="65"/>
    <x v="0"/>
    <x v="0"/>
    <x v="21"/>
    <x v="6"/>
    <x v="14"/>
    <n v="3500"/>
    <n v="2"/>
    <n v="10"/>
    <n v="15"/>
    <n v="6300"/>
    <n v="6265"/>
    <n v="35"/>
    <s v="YES"/>
    <x v="1"/>
    <x v="2"/>
  </r>
  <r>
    <s v="ORD01097"/>
    <x v="163"/>
    <x v="2"/>
    <x v="0"/>
    <x v="14"/>
    <x v="1"/>
    <x v="2"/>
    <n v="6500"/>
    <n v="3"/>
    <n v="10"/>
    <n v="0"/>
    <n v="17550"/>
    <n v="15320.74"/>
    <n v="2229.2600000000002"/>
    <s v="NO"/>
    <x v="1"/>
    <x v="1"/>
  </r>
  <r>
    <s v="ORD01098"/>
    <x v="53"/>
    <x v="1"/>
    <x v="4"/>
    <x v="14"/>
    <x v="1"/>
    <x v="2"/>
    <n v="6500"/>
    <n v="15"/>
    <n v="5"/>
    <n v="5"/>
    <n v="92625"/>
    <n v="97043.66"/>
    <n v="-4418.6600000000035"/>
    <s v="NO"/>
    <x v="0"/>
    <x v="0"/>
  </r>
  <r>
    <s v="ORD01099"/>
    <x v="135"/>
    <x v="1"/>
    <x v="1"/>
    <x v="12"/>
    <x v="4"/>
    <x v="11"/>
    <n v="8000"/>
    <n v="4"/>
    <n v="15"/>
    <n v="5"/>
    <n v="27200"/>
    <n v="27817.37"/>
    <n v="-617.36999999999898"/>
    <s v="NO"/>
    <x v="0"/>
    <x v="0"/>
  </r>
  <r>
    <s v="ORD01100"/>
    <x v="150"/>
    <x v="2"/>
    <x v="0"/>
    <x v="1"/>
    <x v="1"/>
    <x v="1"/>
    <n v="1800"/>
    <n v="3"/>
    <n v="15"/>
    <n v="5"/>
    <n v="4590"/>
    <n v="3961.09"/>
    <n v="628.90999999999985"/>
    <s v="NO"/>
    <x v="1"/>
    <x v="1"/>
  </r>
  <r>
    <s v="ORD01101"/>
    <x v="13"/>
    <x v="2"/>
    <x v="5"/>
    <x v="18"/>
    <x v="5"/>
    <x v="13"/>
    <n v="18000"/>
    <n v="8"/>
    <n v="15"/>
    <n v="25"/>
    <n v="122400"/>
    <n v="109943.25"/>
    <n v="12456.75"/>
    <s v="YES"/>
    <x v="1"/>
    <x v="2"/>
  </r>
  <r>
    <s v="ORD01102"/>
    <x v="110"/>
    <x v="0"/>
    <x v="0"/>
    <x v="15"/>
    <x v="2"/>
    <x v="6"/>
    <n v="2500"/>
    <n v="11"/>
    <n v="5"/>
    <n v="25"/>
    <n v="26125"/>
    <n v="26848.79"/>
    <n v="-723.79000000000087"/>
    <s v="YES"/>
    <x v="0"/>
    <x v="2"/>
  </r>
  <r>
    <s v="ORD01103"/>
    <x v="12"/>
    <x v="2"/>
    <x v="0"/>
    <x v="0"/>
    <x v="0"/>
    <x v="0"/>
    <n v="6000"/>
    <n v="13"/>
    <n v="10"/>
    <n v="25"/>
    <n v="70200"/>
    <n v="68262.009999999995"/>
    <n v="1937.9900000000052"/>
    <s v="YES"/>
    <x v="1"/>
    <x v="2"/>
  </r>
  <r>
    <s v="ORD01104"/>
    <x v="17"/>
    <x v="1"/>
    <x v="5"/>
    <x v="11"/>
    <x v="0"/>
    <x v="10"/>
    <n v="60000"/>
    <n v="13"/>
    <n v="5"/>
    <n v="10"/>
    <n v="741000"/>
    <n v="708540.5"/>
    <n v="32459.5"/>
    <s v="YES"/>
    <x v="1"/>
    <x v="2"/>
  </r>
  <r>
    <s v="ORD01105"/>
    <x v="128"/>
    <x v="2"/>
    <x v="2"/>
    <x v="14"/>
    <x v="1"/>
    <x v="2"/>
    <n v="6500"/>
    <n v="15"/>
    <n v="5"/>
    <n v="0"/>
    <n v="92625"/>
    <n v="79207.210000000006"/>
    <n v="13417.789999999994"/>
    <s v="NO"/>
    <x v="1"/>
    <x v="1"/>
  </r>
  <r>
    <s v="ORD01106"/>
    <x v="30"/>
    <x v="0"/>
    <x v="5"/>
    <x v="10"/>
    <x v="1"/>
    <x v="9"/>
    <n v="1200"/>
    <n v="2"/>
    <n v="5"/>
    <n v="25"/>
    <n v="2280"/>
    <n v="2324.9699999999998"/>
    <n v="-44.9699999999998"/>
    <s v="YES"/>
    <x v="0"/>
    <x v="2"/>
  </r>
  <r>
    <s v="ORD01107"/>
    <x v="140"/>
    <x v="1"/>
    <x v="2"/>
    <x v="15"/>
    <x v="2"/>
    <x v="6"/>
    <n v="2500"/>
    <n v="2"/>
    <n v="15"/>
    <n v="15"/>
    <n v="4250"/>
    <n v="3656.21"/>
    <n v="593.79"/>
    <s v="NO"/>
    <x v="1"/>
    <x v="1"/>
  </r>
  <r>
    <s v="ORD01108"/>
    <x v="2"/>
    <x v="2"/>
    <x v="2"/>
    <x v="21"/>
    <x v="6"/>
    <x v="14"/>
    <n v="3500"/>
    <n v="8"/>
    <n v="5"/>
    <n v="15"/>
    <n v="26600"/>
    <n v="24702.71"/>
    <n v="1897.2900000000009"/>
    <s v="YES"/>
    <x v="1"/>
    <x v="2"/>
  </r>
  <r>
    <s v="ORD01109"/>
    <x v="79"/>
    <x v="2"/>
    <x v="0"/>
    <x v="2"/>
    <x v="1"/>
    <x v="2"/>
    <n v="1200"/>
    <n v="6"/>
    <n v="5"/>
    <n v="0"/>
    <n v="6840"/>
    <n v="6486.52"/>
    <n v="353.47999999999956"/>
    <s v="NO"/>
    <x v="1"/>
    <x v="1"/>
  </r>
  <r>
    <s v="ORD01110"/>
    <x v="24"/>
    <x v="1"/>
    <x v="2"/>
    <x v="18"/>
    <x v="5"/>
    <x v="13"/>
    <n v="18000"/>
    <n v="8"/>
    <n v="5"/>
    <n v="20"/>
    <n v="136800"/>
    <n v="131643.13"/>
    <n v="5156.8699999999953"/>
    <s v="YES"/>
    <x v="1"/>
    <x v="2"/>
  </r>
  <r>
    <s v="ORD01111"/>
    <x v="53"/>
    <x v="0"/>
    <x v="4"/>
    <x v="18"/>
    <x v="5"/>
    <x v="13"/>
    <n v="18000"/>
    <n v="11"/>
    <n v="10"/>
    <n v="20"/>
    <n v="178200"/>
    <n v="186758.59"/>
    <n v="-8558.5899999999965"/>
    <s v="YES"/>
    <x v="0"/>
    <x v="2"/>
  </r>
  <r>
    <s v="ORD01112"/>
    <x v="172"/>
    <x v="2"/>
    <x v="3"/>
    <x v="5"/>
    <x v="0"/>
    <x v="5"/>
    <n v="4500"/>
    <n v="11"/>
    <n v="5"/>
    <n v="25"/>
    <n v="47025"/>
    <n v="44494.79"/>
    <n v="2530.2099999999991"/>
    <s v="YES"/>
    <x v="1"/>
    <x v="2"/>
  </r>
  <r>
    <s v="ORD01113"/>
    <x v="58"/>
    <x v="3"/>
    <x v="3"/>
    <x v="5"/>
    <x v="0"/>
    <x v="5"/>
    <n v="4500"/>
    <n v="9"/>
    <n v="10"/>
    <n v="20"/>
    <n v="36450"/>
    <n v="34859.17"/>
    <n v="1590.8300000000017"/>
    <s v="YES"/>
    <x v="1"/>
    <x v="2"/>
  </r>
  <r>
    <s v="ORD01114"/>
    <x v="75"/>
    <x v="3"/>
    <x v="0"/>
    <x v="12"/>
    <x v="4"/>
    <x v="11"/>
    <n v="8000"/>
    <n v="2"/>
    <n v="10"/>
    <n v="15"/>
    <n v="14400"/>
    <n v="14489.48"/>
    <n v="-89.479999999999563"/>
    <s v="YES"/>
    <x v="0"/>
    <x v="2"/>
  </r>
  <r>
    <s v="ORD01115"/>
    <x v="121"/>
    <x v="0"/>
    <x v="0"/>
    <x v="1"/>
    <x v="1"/>
    <x v="1"/>
    <n v="1800"/>
    <n v="7"/>
    <n v="15"/>
    <n v="0"/>
    <n v="10710"/>
    <n v="9265.1299999999992"/>
    <n v="1444.8700000000008"/>
    <s v="NO"/>
    <x v="1"/>
    <x v="1"/>
  </r>
  <r>
    <s v="ORD01116"/>
    <x v="43"/>
    <x v="0"/>
    <x v="2"/>
    <x v="6"/>
    <x v="2"/>
    <x v="6"/>
    <n v="4500"/>
    <n v="13"/>
    <n v="5"/>
    <n v="20"/>
    <n v="55575"/>
    <n v="57313.09"/>
    <n v="-1738.0899999999965"/>
    <s v="YES"/>
    <x v="0"/>
    <x v="2"/>
  </r>
  <r>
    <s v="ORD01117"/>
    <x v="102"/>
    <x v="2"/>
    <x v="1"/>
    <x v="13"/>
    <x v="0"/>
    <x v="12"/>
    <n v="8000"/>
    <n v="12"/>
    <n v="15"/>
    <n v="20"/>
    <n v="81600"/>
    <n v="79793.039999999994"/>
    <n v="1806.9600000000064"/>
    <s v="YES"/>
    <x v="1"/>
    <x v="2"/>
  </r>
  <r>
    <s v="ORD01118"/>
    <x v="117"/>
    <x v="0"/>
    <x v="5"/>
    <x v="17"/>
    <x v="1"/>
    <x v="1"/>
    <n v="1200"/>
    <n v="5"/>
    <n v="15"/>
    <n v="20"/>
    <n v="5100"/>
    <n v="4478.08"/>
    <n v="621.92000000000007"/>
    <s v="YES"/>
    <x v="1"/>
    <x v="2"/>
  </r>
  <r>
    <s v="ORD01119"/>
    <x v="53"/>
    <x v="2"/>
    <x v="3"/>
    <x v="16"/>
    <x v="1"/>
    <x v="3"/>
    <n v="1500"/>
    <n v="9"/>
    <n v="15"/>
    <n v="20"/>
    <n v="11475"/>
    <n v="10946.53"/>
    <n v="528.46999999999935"/>
    <s v="YES"/>
    <x v="1"/>
    <x v="2"/>
  </r>
  <r>
    <s v="ORD01120"/>
    <x v="161"/>
    <x v="2"/>
    <x v="4"/>
    <x v="12"/>
    <x v="4"/>
    <x v="11"/>
    <n v="8000"/>
    <n v="15"/>
    <n v="15"/>
    <n v="15"/>
    <n v="102000"/>
    <n v="106553.82"/>
    <n v="-4553.820000000007"/>
    <s v="NO"/>
    <x v="0"/>
    <x v="0"/>
  </r>
  <r>
    <s v="ORD01121"/>
    <x v="92"/>
    <x v="3"/>
    <x v="0"/>
    <x v="23"/>
    <x v="0"/>
    <x v="12"/>
    <n v="7000"/>
    <n v="5"/>
    <n v="10"/>
    <n v="5"/>
    <n v="31500"/>
    <n v="28673.82"/>
    <n v="2826.1800000000003"/>
    <s v="NO"/>
    <x v="1"/>
    <x v="1"/>
  </r>
  <r>
    <s v="ORD01122"/>
    <x v="120"/>
    <x v="1"/>
    <x v="0"/>
    <x v="22"/>
    <x v="0"/>
    <x v="10"/>
    <n v="35000"/>
    <n v="7"/>
    <n v="10"/>
    <n v="20"/>
    <n v="220500"/>
    <n v="222741.83"/>
    <n v="-2241.8299999999872"/>
    <s v="YES"/>
    <x v="0"/>
    <x v="2"/>
  </r>
  <r>
    <s v="ORD01123"/>
    <x v="37"/>
    <x v="1"/>
    <x v="3"/>
    <x v="15"/>
    <x v="2"/>
    <x v="6"/>
    <n v="2500"/>
    <n v="15"/>
    <n v="5"/>
    <n v="20"/>
    <n v="35625"/>
    <n v="34284.769999999997"/>
    <n v="1340.2300000000032"/>
    <s v="YES"/>
    <x v="1"/>
    <x v="2"/>
  </r>
  <r>
    <s v="ORD01124"/>
    <x v="41"/>
    <x v="1"/>
    <x v="4"/>
    <x v="16"/>
    <x v="1"/>
    <x v="3"/>
    <n v="1500"/>
    <n v="4"/>
    <n v="15"/>
    <n v="10"/>
    <n v="5100"/>
    <n v="4758.76"/>
    <n v="341.23999999999978"/>
    <s v="NO"/>
    <x v="1"/>
    <x v="1"/>
  </r>
  <r>
    <s v="ORD01125"/>
    <x v="169"/>
    <x v="0"/>
    <x v="1"/>
    <x v="0"/>
    <x v="0"/>
    <x v="0"/>
    <n v="6000"/>
    <n v="13"/>
    <n v="15"/>
    <n v="5"/>
    <n v="66300"/>
    <n v="67588.350000000006"/>
    <n v="-1288.3500000000058"/>
    <s v="NO"/>
    <x v="0"/>
    <x v="0"/>
  </r>
  <r>
    <s v="ORD01126"/>
    <x v="73"/>
    <x v="1"/>
    <x v="1"/>
    <x v="18"/>
    <x v="5"/>
    <x v="13"/>
    <n v="18000"/>
    <n v="15"/>
    <n v="10"/>
    <n v="5"/>
    <n v="243000"/>
    <n v="230482.91"/>
    <n v="12517.089999999997"/>
    <s v="NO"/>
    <x v="1"/>
    <x v="1"/>
  </r>
  <r>
    <s v="ORD01127"/>
    <x v="99"/>
    <x v="1"/>
    <x v="0"/>
    <x v="18"/>
    <x v="5"/>
    <x v="13"/>
    <n v="18000"/>
    <n v="13"/>
    <n v="5"/>
    <n v="10"/>
    <n v="222300"/>
    <n v="218823.95"/>
    <n v="3476.0499999999884"/>
    <s v="YES"/>
    <x v="1"/>
    <x v="2"/>
  </r>
  <r>
    <s v="ORD01128"/>
    <x v="153"/>
    <x v="0"/>
    <x v="1"/>
    <x v="3"/>
    <x v="1"/>
    <x v="3"/>
    <n v="500"/>
    <n v="9"/>
    <n v="15"/>
    <n v="0"/>
    <n v="3825"/>
    <n v="3545.61"/>
    <n v="279.38999999999987"/>
    <s v="NO"/>
    <x v="1"/>
    <x v="1"/>
  </r>
  <r>
    <s v="ORD01129"/>
    <x v="127"/>
    <x v="1"/>
    <x v="4"/>
    <x v="22"/>
    <x v="0"/>
    <x v="10"/>
    <n v="35000"/>
    <n v="10"/>
    <n v="5"/>
    <n v="15"/>
    <n v="332500"/>
    <n v="288445.53000000003"/>
    <n v="44054.469999999972"/>
    <s v="YES"/>
    <x v="1"/>
    <x v="2"/>
  </r>
  <r>
    <s v="ORD01130"/>
    <x v="129"/>
    <x v="2"/>
    <x v="0"/>
    <x v="19"/>
    <x v="0"/>
    <x v="12"/>
    <n v="3500"/>
    <n v="5"/>
    <n v="5"/>
    <n v="5"/>
    <n v="16625"/>
    <n v="16921.939999999999"/>
    <n v="-296.93999999999869"/>
    <s v="NO"/>
    <x v="0"/>
    <x v="0"/>
  </r>
  <r>
    <s v="ORD01131"/>
    <x v="40"/>
    <x v="1"/>
    <x v="4"/>
    <x v="0"/>
    <x v="0"/>
    <x v="0"/>
    <n v="6000"/>
    <n v="11"/>
    <n v="10"/>
    <n v="25"/>
    <n v="59400"/>
    <n v="53036.67"/>
    <n v="6363.3300000000017"/>
    <s v="YES"/>
    <x v="1"/>
    <x v="2"/>
  </r>
  <r>
    <s v="ORD01132"/>
    <x v="40"/>
    <x v="2"/>
    <x v="2"/>
    <x v="9"/>
    <x v="3"/>
    <x v="8"/>
    <n v="4000"/>
    <n v="3"/>
    <n v="15"/>
    <n v="5"/>
    <n v="10200"/>
    <n v="10514.12"/>
    <n v="-314.1200000000008"/>
    <s v="NO"/>
    <x v="0"/>
    <x v="0"/>
  </r>
  <r>
    <s v="ORD01133"/>
    <x v="134"/>
    <x v="0"/>
    <x v="2"/>
    <x v="16"/>
    <x v="1"/>
    <x v="3"/>
    <n v="1500"/>
    <n v="5"/>
    <n v="10"/>
    <n v="15"/>
    <n v="6750"/>
    <n v="5850.88"/>
    <n v="899.11999999999989"/>
    <s v="YES"/>
    <x v="1"/>
    <x v="2"/>
  </r>
  <r>
    <s v="ORD01134"/>
    <x v="57"/>
    <x v="2"/>
    <x v="2"/>
    <x v="20"/>
    <x v="6"/>
    <x v="14"/>
    <n v="12000"/>
    <n v="6"/>
    <n v="5"/>
    <n v="10"/>
    <n v="68400"/>
    <n v="65539.42"/>
    <n v="2860.5800000000017"/>
    <s v="YES"/>
    <x v="1"/>
    <x v="2"/>
  </r>
  <r>
    <s v="ORD01135"/>
    <x v="130"/>
    <x v="0"/>
    <x v="5"/>
    <x v="5"/>
    <x v="0"/>
    <x v="5"/>
    <n v="4500"/>
    <n v="7"/>
    <n v="15"/>
    <n v="20"/>
    <n v="26775"/>
    <n v="25649.17"/>
    <n v="1125.8300000000017"/>
    <s v="YES"/>
    <x v="1"/>
    <x v="2"/>
  </r>
  <r>
    <s v="ORD01136"/>
    <x v="77"/>
    <x v="0"/>
    <x v="1"/>
    <x v="21"/>
    <x v="6"/>
    <x v="14"/>
    <n v="3500"/>
    <n v="2"/>
    <n v="5"/>
    <n v="15"/>
    <n v="6650"/>
    <n v="6486.61"/>
    <n v="163.39000000000033"/>
    <s v="YES"/>
    <x v="1"/>
    <x v="2"/>
  </r>
  <r>
    <s v="ORD01137"/>
    <x v="123"/>
    <x v="3"/>
    <x v="3"/>
    <x v="0"/>
    <x v="0"/>
    <x v="0"/>
    <n v="6000"/>
    <n v="13"/>
    <n v="5"/>
    <n v="10"/>
    <n v="74100"/>
    <n v="73183.95"/>
    <n v="916.05000000000291"/>
    <s v="YES"/>
    <x v="1"/>
    <x v="2"/>
  </r>
  <r>
    <s v="ORD01138"/>
    <x v="55"/>
    <x v="3"/>
    <x v="1"/>
    <x v="8"/>
    <x v="1"/>
    <x v="3"/>
    <n v="2800"/>
    <n v="7"/>
    <n v="10"/>
    <n v="25"/>
    <n v="17640"/>
    <n v="17303.919999999998"/>
    <n v="336.08000000000175"/>
    <s v="YES"/>
    <x v="1"/>
    <x v="2"/>
  </r>
  <r>
    <s v="ORD01139"/>
    <x v="163"/>
    <x v="2"/>
    <x v="1"/>
    <x v="14"/>
    <x v="1"/>
    <x v="2"/>
    <n v="6500"/>
    <n v="4"/>
    <n v="10"/>
    <n v="0"/>
    <n v="23400"/>
    <n v="22315.38"/>
    <n v="1084.619999999999"/>
    <s v="NO"/>
    <x v="1"/>
    <x v="1"/>
  </r>
  <r>
    <s v="ORD01140"/>
    <x v="112"/>
    <x v="1"/>
    <x v="0"/>
    <x v="22"/>
    <x v="0"/>
    <x v="10"/>
    <n v="35000"/>
    <n v="10"/>
    <n v="10"/>
    <n v="10"/>
    <n v="315000"/>
    <n v="268975.46999999997"/>
    <n v="46024.530000000028"/>
    <s v="NO"/>
    <x v="1"/>
    <x v="1"/>
  </r>
  <r>
    <s v="ORD01141"/>
    <x v="164"/>
    <x v="1"/>
    <x v="0"/>
    <x v="5"/>
    <x v="0"/>
    <x v="5"/>
    <n v="4500"/>
    <n v="15"/>
    <n v="15"/>
    <n v="25"/>
    <n v="57375"/>
    <n v="50644.86"/>
    <n v="6730.1399999999994"/>
    <s v="YES"/>
    <x v="1"/>
    <x v="2"/>
  </r>
  <r>
    <s v="ORD01142"/>
    <x v="135"/>
    <x v="1"/>
    <x v="1"/>
    <x v="8"/>
    <x v="1"/>
    <x v="3"/>
    <n v="2800"/>
    <n v="14"/>
    <n v="5"/>
    <n v="20"/>
    <n v="37240"/>
    <n v="37138.68"/>
    <n v="101.31999999999971"/>
    <s v="YES"/>
    <x v="1"/>
    <x v="2"/>
  </r>
  <r>
    <s v="ORD01143"/>
    <x v="179"/>
    <x v="1"/>
    <x v="5"/>
    <x v="22"/>
    <x v="0"/>
    <x v="10"/>
    <n v="35000"/>
    <n v="14"/>
    <n v="5"/>
    <n v="15"/>
    <n v="465500"/>
    <n v="481821.61"/>
    <n v="-16321.609999999986"/>
    <s v="YES"/>
    <x v="0"/>
    <x v="2"/>
  </r>
  <r>
    <s v="ORD01144"/>
    <x v="153"/>
    <x v="2"/>
    <x v="0"/>
    <x v="6"/>
    <x v="2"/>
    <x v="6"/>
    <n v="4500"/>
    <n v="3"/>
    <n v="15"/>
    <n v="10"/>
    <n v="11475"/>
    <n v="9773.2099999999991"/>
    <n v="1701.7900000000009"/>
    <s v="NO"/>
    <x v="1"/>
    <x v="1"/>
  </r>
  <r>
    <s v="ORD01145"/>
    <x v="44"/>
    <x v="2"/>
    <x v="1"/>
    <x v="11"/>
    <x v="0"/>
    <x v="10"/>
    <n v="60000"/>
    <n v="8"/>
    <n v="5"/>
    <n v="15"/>
    <n v="456000"/>
    <n v="415501.09"/>
    <n v="40498.909999999974"/>
    <s v="YES"/>
    <x v="1"/>
    <x v="2"/>
  </r>
  <r>
    <s v="ORD01146"/>
    <x v="159"/>
    <x v="0"/>
    <x v="4"/>
    <x v="0"/>
    <x v="0"/>
    <x v="0"/>
    <n v="6000"/>
    <n v="5"/>
    <n v="5"/>
    <n v="0"/>
    <n v="28500"/>
    <n v="24450.23"/>
    <n v="4049.7700000000004"/>
    <s v="NO"/>
    <x v="1"/>
    <x v="1"/>
  </r>
  <r>
    <s v="ORD01147"/>
    <x v="141"/>
    <x v="2"/>
    <x v="4"/>
    <x v="18"/>
    <x v="5"/>
    <x v="13"/>
    <n v="18000"/>
    <n v="15"/>
    <n v="5"/>
    <n v="10"/>
    <n v="256500"/>
    <n v="229145.29"/>
    <n v="27354.709999999992"/>
    <s v="YES"/>
    <x v="1"/>
    <x v="2"/>
  </r>
  <r>
    <s v="ORD01148"/>
    <x v="33"/>
    <x v="3"/>
    <x v="4"/>
    <x v="9"/>
    <x v="3"/>
    <x v="8"/>
    <n v="4000"/>
    <n v="15"/>
    <n v="5"/>
    <n v="5"/>
    <n v="57000"/>
    <n v="52896.18"/>
    <n v="4103.82"/>
    <s v="NO"/>
    <x v="1"/>
    <x v="1"/>
  </r>
  <r>
    <s v="ORD01149"/>
    <x v="175"/>
    <x v="3"/>
    <x v="0"/>
    <x v="3"/>
    <x v="1"/>
    <x v="3"/>
    <n v="500"/>
    <n v="3"/>
    <n v="5"/>
    <n v="5"/>
    <n v="1425"/>
    <n v="1313.45"/>
    <n v="111.54999999999995"/>
    <s v="NO"/>
    <x v="1"/>
    <x v="1"/>
  </r>
  <r>
    <s v="ORD01150"/>
    <x v="101"/>
    <x v="0"/>
    <x v="2"/>
    <x v="8"/>
    <x v="1"/>
    <x v="3"/>
    <n v="2800"/>
    <n v="5"/>
    <n v="10"/>
    <n v="25"/>
    <n v="12600"/>
    <n v="11608.36"/>
    <n v="991.63999999999942"/>
    <s v="YES"/>
    <x v="1"/>
    <x v="2"/>
  </r>
  <r>
    <s v="ORD01151"/>
    <x v="91"/>
    <x v="0"/>
    <x v="1"/>
    <x v="4"/>
    <x v="2"/>
    <x v="4"/>
    <n v="15000"/>
    <n v="10"/>
    <n v="5"/>
    <n v="10"/>
    <n v="142500"/>
    <n v="132959.85999999999"/>
    <n v="9540.140000000014"/>
    <s v="YES"/>
    <x v="1"/>
    <x v="2"/>
  </r>
  <r>
    <s v="ORD01152"/>
    <x v="7"/>
    <x v="0"/>
    <x v="3"/>
    <x v="7"/>
    <x v="2"/>
    <x v="7"/>
    <n v="18000"/>
    <n v="11"/>
    <n v="5"/>
    <n v="20"/>
    <n v="188100"/>
    <n v="180866.41"/>
    <n v="7233.5899999999965"/>
    <s v="YES"/>
    <x v="1"/>
    <x v="2"/>
  </r>
  <r>
    <s v="ORD01153"/>
    <x v="165"/>
    <x v="1"/>
    <x v="1"/>
    <x v="17"/>
    <x v="1"/>
    <x v="1"/>
    <n v="1200"/>
    <n v="10"/>
    <n v="5"/>
    <n v="15"/>
    <n v="11400"/>
    <n v="11955.95"/>
    <n v="-555.95000000000073"/>
    <s v="YES"/>
    <x v="0"/>
    <x v="2"/>
  </r>
  <r>
    <s v="ORD01154"/>
    <x v="140"/>
    <x v="3"/>
    <x v="4"/>
    <x v="10"/>
    <x v="1"/>
    <x v="9"/>
    <n v="1200"/>
    <n v="11"/>
    <n v="10"/>
    <n v="5"/>
    <n v="11880"/>
    <n v="11319.63"/>
    <n v="560.3700000000008"/>
    <s v="NO"/>
    <x v="1"/>
    <x v="1"/>
  </r>
  <r>
    <s v="ORD01155"/>
    <x v="173"/>
    <x v="3"/>
    <x v="0"/>
    <x v="22"/>
    <x v="0"/>
    <x v="10"/>
    <n v="35000"/>
    <n v="13"/>
    <n v="10"/>
    <n v="5"/>
    <n v="409500"/>
    <n v="395171.65"/>
    <n v="14328.349999999977"/>
    <s v="NO"/>
    <x v="1"/>
    <x v="1"/>
  </r>
  <r>
    <s v="ORD01156"/>
    <x v="172"/>
    <x v="3"/>
    <x v="3"/>
    <x v="1"/>
    <x v="1"/>
    <x v="1"/>
    <n v="1800"/>
    <n v="3"/>
    <n v="10"/>
    <n v="10"/>
    <n v="4860"/>
    <n v="4861.51"/>
    <n v="-1.5100000000002183"/>
    <s v="NO"/>
    <x v="0"/>
    <x v="0"/>
  </r>
  <r>
    <s v="ORD01157"/>
    <x v="165"/>
    <x v="1"/>
    <x v="1"/>
    <x v="18"/>
    <x v="5"/>
    <x v="13"/>
    <n v="18000"/>
    <n v="10"/>
    <n v="10"/>
    <n v="15"/>
    <n v="162000"/>
    <n v="158649.57"/>
    <n v="3350.429999999993"/>
    <s v="YES"/>
    <x v="1"/>
    <x v="2"/>
  </r>
  <r>
    <s v="ORD01158"/>
    <x v="140"/>
    <x v="1"/>
    <x v="4"/>
    <x v="9"/>
    <x v="3"/>
    <x v="8"/>
    <n v="4000"/>
    <n v="4"/>
    <n v="15"/>
    <n v="0"/>
    <n v="13600"/>
    <n v="12453.28"/>
    <n v="1146.7199999999993"/>
    <s v="NO"/>
    <x v="1"/>
    <x v="1"/>
  </r>
  <r>
    <s v="ORD01159"/>
    <x v="15"/>
    <x v="3"/>
    <x v="2"/>
    <x v="22"/>
    <x v="0"/>
    <x v="10"/>
    <n v="35000"/>
    <n v="3"/>
    <n v="15"/>
    <n v="0"/>
    <n v="89250"/>
    <n v="78044.81"/>
    <n v="11205.190000000002"/>
    <s v="NO"/>
    <x v="1"/>
    <x v="1"/>
  </r>
  <r>
    <s v="ORD01160"/>
    <x v="139"/>
    <x v="0"/>
    <x v="1"/>
    <x v="13"/>
    <x v="0"/>
    <x v="12"/>
    <n v="8000"/>
    <n v="6"/>
    <n v="10"/>
    <n v="0"/>
    <n v="43200"/>
    <n v="40963.06"/>
    <n v="2236.9400000000023"/>
    <s v="NO"/>
    <x v="1"/>
    <x v="1"/>
  </r>
  <r>
    <s v="ORD01161"/>
    <x v="21"/>
    <x v="3"/>
    <x v="3"/>
    <x v="7"/>
    <x v="2"/>
    <x v="7"/>
    <n v="18000"/>
    <n v="11"/>
    <n v="5"/>
    <n v="20"/>
    <n v="188100"/>
    <n v="179774.4"/>
    <n v="8325.6000000000058"/>
    <s v="YES"/>
    <x v="1"/>
    <x v="2"/>
  </r>
  <r>
    <s v="ORD01162"/>
    <x v="116"/>
    <x v="2"/>
    <x v="0"/>
    <x v="7"/>
    <x v="2"/>
    <x v="7"/>
    <n v="18000"/>
    <n v="14"/>
    <n v="5"/>
    <n v="25"/>
    <n v="239400"/>
    <n v="239139.98"/>
    <n v="260.01999999998952"/>
    <s v="YES"/>
    <x v="1"/>
    <x v="2"/>
  </r>
  <r>
    <s v="ORD01163"/>
    <x v="26"/>
    <x v="3"/>
    <x v="0"/>
    <x v="6"/>
    <x v="2"/>
    <x v="6"/>
    <n v="4500"/>
    <n v="7"/>
    <n v="15"/>
    <n v="10"/>
    <n v="26775"/>
    <n v="22893.26"/>
    <n v="3881.7400000000016"/>
    <s v="NO"/>
    <x v="1"/>
    <x v="1"/>
  </r>
  <r>
    <s v="ORD01164"/>
    <x v="137"/>
    <x v="0"/>
    <x v="0"/>
    <x v="10"/>
    <x v="1"/>
    <x v="9"/>
    <n v="1200"/>
    <n v="1"/>
    <n v="10"/>
    <n v="5"/>
    <n v="1080"/>
    <n v="1027.23"/>
    <n v="52.769999999999982"/>
    <s v="NO"/>
    <x v="1"/>
    <x v="1"/>
  </r>
  <r>
    <s v="ORD01165"/>
    <x v="154"/>
    <x v="0"/>
    <x v="5"/>
    <x v="8"/>
    <x v="1"/>
    <x v="3"/>
    <n v="2800"/>
    <n v="14"/>
    <n v="10"/>
    <n v="0"/>
    <n v="35280"/>
    <n v="32264.7"/>
    <n v="3015.2999999999993"/>
    <s v="NO"/>
    <x v="1"/>
    <x v="1"/>
  </r>
  <r>
    <s v="ORD01166"/>
    <x v="133"/>
    <x v="1"/>
    <x v="0"/>
    <x v="15"/>
    <x v="2"/>
    <x v="6"/>
    <n v="2500"/>
    <n v="14"/>
    <n v="15"/>
    <n v="20"/>
    <n v="29750"/>
    <n v="29960.17"/>
    <n v="-210.16999999999825"/>
    <s v="YES"/>
    <x v="0"/>
    <x v="2"/>
  </r>
  <r>
    <s v="ORD01167"/>
    <x v="77"/>
    <x v="3"/>
    <x v="4"/>
    <x v="3"/>
    <x v="1"/>
    <x v="3"/>
    <n v="500"/>
    <n v="8"/>
    <n v="15"/>
    <n v="15"/>
    <n v="3400"/>
    <n v="3457.13"/>
    <n v="-57.130000000000109"/>
    <s v="NO"/>
    <x v="0"/>
    <x v="0"/>
  </r>
  <r>
    <s v="ORD01168"/>
    <x v="75"/>
    <x v="3"/>
    <x v="1"/>
    <x v="9"/>
    <x v="3"/>
    <x v="8"/>
    <n v="4000"/>
    <n v="8"/>
    <n v="10"/>
    <n v="15"/>
    <n v="28800"/>
    <n v="29758.31"/>
    <n v="-958.31000000000131"/>
    <s v="YES"/>
    <x v="0"/>
    <x v="2"/>
  </r>
  <r>
    <s v="ORD01169"/>
    <x v="151"/>
    <x v="1"/>
    <x v="2"/>
    <x v="17"/>
    <x v="1"/>
    <x v="1"/>
    <n v="1200"/>
    <n v="12"/>
    <n v="10"/>
    <n v="20"/>
    <n v="12960"/>
    <n v="13277.27"/>
    <n v="-317.27000000000044"/>
    <s v="YES"/>
    <x v="0"/>
    <x v="2"/>
  </r>
  <r>
    <s v="ORD01170"/>
    <x v="63"/>
    <x v="0"/>
    <x v="2"/>
    <x v="10"/>
    <x v="1"/>
    <x v="9"/>
    <n v="1200"/>
    <n v="10"/>
    <n v="10"/>
    <n v="0"/>
    <n v="10800"/>
    <n v="9900.32"/>
    <n v="899.68000000000029"/>
    <s v="NO"/>
    <x v="1"/>
    <x v="1"/>
  </r>
  <r>
    <s v="ORD01171"/>
    <x v="112"/>
    <x v="3"/>
    <x v="5"/>
    <x v="14"/>
    <x v="1"/>
    <x v="2"/>
    <n v="6500"/>
    <n v="15"/>
    <n v="5"/>
    <n v="10"/>
    <n v="92625"/>
    <n v="96889.75"/>
    <n v="-4264.75"/>
    <s v="YES"/>
    <x v="0"/>
    <x v="2"/>
  </r>
  <r>
    <s v="ORD01172"/>
    <x v="28"/>
    <x v="0"/>
    <x v="0"/>
    <x v="4"/>
    <x v="2"/>
    <x v="4"/>
    <n v="15000"/>
    <n v="4"/>
    <n v="10"/>
    <n v="10"/>
    <n v="54000"/>
    <n v="53606.36"/>
    <n v="393.63999999999942"/>
    <s v="NO"/>
    <x v="1"/>
    <x v="1"/>
  </r>
  <r>
    <s v="ORD01173"/>
    <x v="117"/>
    <x v="2"/>
    <x v="0"/>
    <x v="1"/>
    <x v="1"/>
    <x v="1"/>
    <n v="1800"/>
    <n v="15"/>
    <n v="10"/>
    <n v="5"/>
    <n v="24300"/>
    <n v="21348.21"/>
    <n v="2951.7900000000009"/>
    <s v="NO"/>
    <x v="1"/>
    <x v="1"/>
  </r>
  <r>
    <s v="ORD01174"/>
    <x v="38"/>
    <x v="3"/>
    <x v="2"/>
    <x v="9"/>
    <x v="3"/>
    <x v="8"/>
    <n v="4000"/>
    <n v="12"/>
    <n v="10"/>
    <n v="20"/>
    <n v="43200"/>
    <n v="43288.22"/>
    <n v="-88.220000000001164"/>
    <s v="YES"/>
    <x v="0"/>
    <x v="2"/>
  </r>
  <r>
    <s v="ORD01175"/>
    <x v="117"/>
    <x v="2"/>
    <x v="2"/>
    <x v="18"/>
    <x v="5"/>
    <x v="13"/>
    <n v="18000"/>
    <n v="7"/>
    <n v="10"/>
    <n v="25"/>
    <n v="113400"/>
    <n v="101840.58"/>
    <n v="11559.419999999998"/>
    <s v="YES"/>
    <x v="1"/>
    <x v="2"/>
  </r>
  <r>
    <s v="ORD01176"/>
    <x v="144"/>
    <x v="2"/>
    <x v="0"/>
    <x v="5"/>
    <x v="0"/>
    <x v="5"/>
    <n v="4500"/>
    <n v="2"/>
    <n v="5"/>
    <n v="10"/>
    <n v="8550"/>
    <n v="8635.9699999999993"/>
    <n v="-85.969999999999345"/>
    <s v="YES"/>
    <x v="0"/>
    <x v="2"/>
  </r>
  <r>
    <s v="ORD01177"/>
    <x v="150"/>
    <x v="2"/>
    <x v="5"/>
    <x v="10"/>
    <x v="1"/>
    <x v="9"/>
    <n v="1200"/>
    <n v="11"/>
    <n v="15"/>
    <n v="0"/>
    <n v="11220"/>
    <n v="11269.89"/>
    <n v="-49.889999999999418"/>
    <s v="NO"/>
    <x v="0"/>
    <x v="0"/>
  </r>
  <r>
    <s v="ORD01178"/>
    <x v="51"/>
    <x v="2"/>
    <x v="1"/>
    <x v="13"/>
    <x v="0"/>
    <x v="12"/>
    <n v="8000"/>
    <n v="3"/>
    <n v="5"/>
    <n v="25"/>
    <n v="22800"/>
    <n v="21476.44"/>
    <n v="1323.5600000000013"/>
    <s v="YES"/>
    <x v="1"/>
    <x v="2"/>
  </r>
  <r>
    <s v="ORD01179"/>
    <x v="133"/>
    <x v="1"/>
    <x v="5"/>
    <x v="14"/>
    <x v="1"/>
    <x v="2"/>
    <n v="6500"/>
    <n v="9"/>
    <n v="5"/>
    <n v="5"/>
    <n v="55575"/>
    <n v="53643.19"/>
    <n v="1931.8099999999977"/>
    <s v="NO"/>
    <x v="1"/>
    <x v="1"/>
  </r>
  <r>
    <s v="ORD01180"/>
    <x v="66"/>
    <x v="2"/>
    <x v="3"/>
    <x v="3"/>
    <x v="1"/>
    <x v="3"/>
    <n v="500"/>
    <n v="7"/>
    <n v="10"/>
    <n v="5"/>
    <n v="3150"/>
    <n v="3140.33"/>
    <n v="9.6700000000000728"/>
    <s v="NO"/>
    <x v="1"/>
    <x v="1"/>
  </r>
  <r>
    <s v="ORD01181"/>
    <x v="27"/>
    <x v="1"/>
    <x v="4"/>
    <x v="18"/>
    <x v="5"/>
    <x v="13"/>
    <n v="18000"/>
    <n v="6"/>
    <n v="15"/>
    <n v="15"/>
    <n v="91800"/>
    <n v="95490.07"/>
    <n v="-3690.070000000007"/>
    <s v="NO"/>
    <x v="0"/>
    <x v="0"/>
  </r>
  <r>
    <s v="ORD01182"/>
    <x v="144"/>
    <x v="3"/>
    <x v="3"/>
    <x v="21"/>
    <x v="6"/>
    <x v="14"/>
    <n v="3500"/>
    <n v="12"/>
    <n v="10"/>
    <n v="5"/>
    <n v="37800"/>
    <n v="36757.69"/>
    <n v="1042.3099999999977"/>
    <s v="NO"/>
    <x v="1"/>
    <x v="1"/>
  </r>
  <r>
    <s v="ORD01183"/>
    <x v="169"/>
    <x v="3"/>
    <x v="2"/>
    <x v="12"/>
    <x v="4"/>
    <x v="11"/>
    <n v="8000"/>
    <n v="10"/>
    <n v="10"/>
    <n v="25"/>
    <n v="72000"/>
    <n v="67602.960000000006"/>
    <n v="4397.0399999999936"/>
    <s v="YES"/>
    <x v="1"/>
    <x v="2"/>
  </r>
  <r>
    <s v="ORD01184"/>
    <x v="103"/>
    <x v="3"/>
    <x v="5"/>
    <x v="11"/>
    <x v="0"/>
    <x v="10"/>
    <n v="60000"/>
    <n v="7"/>
    <n v="5"/>
    <n v="10"/>
    <n v="399000"/>
    <n v="409364.39"/>
    <n v="-10364.390000000014"/>
    <s v="YES"/>
    <x v="0"/>
    <x v="2"/>
  </r>
  <r>
    <s v="ORD01185"/>
    <x v="37"/>
    <x v="1"/>
    <x v="0"/>
    <x v="11"/>
    <x v="0"/>
    <x v="10"/>
    <n v="60000"/>
    <n v="1"/>
    <n v="10"/>
    <n v="5"/>
    <n v="54000"/>
    <n v="54250.39"/>
    <n v="-250.38999999999942"/>
    <s v="NO"/>
    <x v="0"/>
    <x v="0"/>
  </r>
  <r>
    <s v="ORD01186"/>
    <x v="17"/>
    <x v="2"/>
    <x v="4"/>
    <x v="1"/>
    <x v="1"/>
    <x v="1"/>
    <n v="1800"/>
    <n v="5"/>
    <n v="15"/>
    <n v="25"/>
    <n v="7650"/>
    <n v="7285.86"/>
    <n v="364.14000000000033"/>
    <s v="YES"/>
    <x v="1"/>
    <x v="2"/>
  </r>
  <r>
    <s v="ORD01187"/>
    <x v="98"/>
    <x v="3"/>
    <x v="1"/>
    <x v="13"/>
    <x v="0"/>
    <x v="12"/>
    <n v="8000"/>
    <n v="14"/>
    <n v="10"/>
    <n v="10"/>
    <n v="100800"/>
    <n v="96940.94"/>
    <n v="3859.0599999999977"/>
    <s v="NO"/>
    <x v="1"/>
    <x v="1"/>
  </r>
  <r>
    <s v="ORD01188"/>
    <x v="146"/>
    <x v="0"/>
    <x v="0"/>
    <x v="0"/>
    <x v="0"/>
    <x v="0"/>
    <n v="6000"/>
    <n v="13"/>
    <n v="5"/>
    <n v="25"/>
    <n v="74100"/>
    <n v="76018.59"/>
    <n v="-1918.5899999999965"/>
    <s v="YES"/>
    <x v="0"/>
    <x v="2"/>
  </r>
  <r>
    <s v="ORD01189"/>
    <x v="117"/>
    <x v="1"/>
    <x v="4"/>
    <x v="16"/>
    <x v="1"/>
    <x v="3"/>
    <n v="1500"/>
    <n v="4"/>
    <n v="10"/>
    <n v="15"/>
    <n v="5400"/>
    <n v="4892.54"/>
    <n v="507.46000000000004"/>
    <s v="YES"/>
    <x v="1"/>
    <x v="2"/>
  </r>
  <r>
    <s v="ORD01190"/>
    <x v="27"/>
    <x v="1"/>
    <x v="3"/>
    <x v="3"/>
    <x v="1"/>
    <x v="3"/>
    <n v="500"/>
    <n v="14"/>
    <n v="5"/>
    <n v="10"/>
    <n v="6650"/>
    <n v="6142.2"/>
    <n v="507.80000000000018"/>
    <s v="YES"/>
    <x v="1"/>
    <x v="2"/>
  </r>
  <r>
    <s v="ORD01191"/>
    <x v="99"/>
    <x v="1"/>
    <x v="3"/>
    <x v="11"/>
    <x v="0"/>
    <x v="10"/>
    <n v="60000"/>
    <n v="15"/>
    <n v="10"/>
    <n v="15"/>
    <n v="810000"/>
    <n v="756577.96"/>
    <n v="53422.040000000037"/>
    <s v="YES"/>
    <x v="1"/>
    <x v="2"/>
  </r>
  <r>
    <s v="ORD01192"/>
    <x v="10"/>
    <x v="2"/>
    <x v="0"/>
    <x v="3"/>
    <x v="1"/>
    <x v="3"/>
    <n v="500"/>
    <n v="12"/>
    <n v="5"/>
    <n v="25"/>
    <n v="5700"/>
    <n v="5539.07"/>
    <n v="160.93000000000029"/>
    <s v="YES"/>
    <x v="1"/>
    <x v="2"/>
  </r>
  <r>
    <s v="ORD01193"/>
    <x v="115"/>
    <x v="1"/>
    <x v="1"/>
    <x v="10"/>
    <x v="1"/>
    <x v="9"/>
    <n v="1200"/>
    <n v="7"/>
    <n v="5"/>
    <n v="20"/>
    <n v="7980"/>
    <n v="7795.67"/>
    <n v="184.32999999999993"/>
    <s v="YES"/>
    <x v="1"/>
    <x v="2"/>
  </r>
  <r>
    <s v="ORD01194"/>
    <x v="63"/>
    <x v="0"/>
    <x v="1"/>
    <x v="16"/>
    <x v="1"/>
    <x v="3"/>
    <n v="1500"/>
    <n v="10"/>
    <n v="5"/>
    <n v="5"/>
    <n v="14250"/>
    <n v="12648.45"/>
    <n v="1601.5499999999993"/>
    <s v="NO"/>
    <x v="1"/>
    <x v="1"/>
  </r>
  <r>
    <s v="ORD01195"/>
    <x v="5"/>
    <x v="0"/>
    <x v="1"/>
    <x v="18"/>
    <x v="5"/>
    <x v="13"/>
    <n v="18000"/>
    <n v="14"/>
    <n v="5"/>
    <n v="25"/>
    <n v="239400"/>
    <n v="209636.66"/>
    <n v="29763.339999999997"/>
    <s v="YES"/>
    <x v="1"/>
    <x v="2"/>
  </r>
  <r>
    <s v="ORD01196"/>
    <x v="50"/>
    <x v="0"/>
    <x v="4"/>
    <x v="21"/>
    <x v="6"/>
    <x v="14"/>
    <n v="3500"/>
    <n v="12"/>
    <n v="15"/>
    <n v="10"/>
    <n v="35700"/>
    <n v="36986.160000000003"/>
    <n v="-1286.1600000000035"/>
    <s v="NO"/>
    <x v="0"/>
    <x v="0"/>
  </r>
  <r>
    <s v="ORD01197"/>
    <x v="41"/>
    <x v="0"/>
    <x v="5"/>
    <x v="11"/>
    <x v="0"/>
    <x v="10"/>
    <n v="60000"/>
    <n v="14"/>
    <n v="15"/>
    <n v="25"/>
    <n v="714000"/>
    <n v="708058.15"/>
    <n v="5941.8499999999767"/>
    <s v="YES"/>
    <x v="1"/>
    <x v="2"/>
  </r>
  <r>
    <s v="ORD01198"/>
    <x v="58"/>
    <x v="3"/>
    <x v="3"/>
    <x v="9"/>
    <x v="3"/>
    <x v="8"/>
    <n v="4000"/>
    <n v="11"/>
    <n v="10"/>
    <n v="0"/>
    <n v="39600"/>
    <n v="40173.019999999997"/>
    <n v="-573.0199999999968"/>
    <s v="NO"/>
    <x v="0"/>
    <x v="0"/>
  </r>
  <r>
    <s v="ORD01199"/>
    <x v="11"/>
    <x v="0"/>
    <x v="2"/>
    <x v="8"/>
    <x v="1"/>
    <x v="3"/>
    <n v="2800"/>
    <n v="9"/>
    <n v="15"/>
    <n v="10"/>
    <n v="21420"/>
    <n v="19155.18"/>
    <n v="2264.8199999999997"/>
    <s v="NO"/>
    <x v="1"/>
    <x v="1"/>
  </r>
  <r>
    <s v="ORD01200"/>
    <x v="71"/>
    <x v="1"/>
    <x v="5"/>
    <x v="20"/>
    <x v="6"/>
    <x v="14"/>
    <n v="12000"/>
    <n v="12"/>
    <n v="5"/>
    <n v="10"/>
    <n v="136800"/>
    <n v="118588.11"/>
    <n v="18211.89"/>
    <s v="YES"/>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32D144-9C4F-4CF3-8D24-2DD7BBFDCDE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14" firstHeaderRow="1" firstDataRow="1" firstDataCol="1"/>
  <pivotFields count="19">
    <pivotField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axis="axisRow" showAll="0" measureFilter="1" sortType="ascending">
      <items count="25">
        <item x="7"/>
        <item x="9"/>
        <item x="15"/>
        <item x="18"/>
        <item x="0"/>
        <item x="12"/>
        <item x="6"/>
        <item x="1"/>
        <item x="17"/>
        <item x="14"/>
        <item x="3"/>
        <item x="13"/>
        <item x="8"/>
        <item x="21"/>
        <item x="22"/>
        <item x="11"/>
        <item x="5"/>
        <item x="10"/>
        <item x="20"/>
        <item x="16"/>
        <item x="4"/>
        <item x="19"/>
        <item x="2"/>
        <item x="23"/>
        <item t="default"/>
      </items>
      <autoSortScope>
        <pivotArea dataOnly="0" outline="0" fieldPosition="0">
          <references count="1">
            <reference field="4294967294" count="1" selected="0">
              <x v="0"/>
            </reference>
          </references>
        </pivotArea>
      </autoSortScope>
    </pivotField>
    <pivotField showAll="0">
      <items count="8">
        <item x="1"/>
        <item x="0"/>
        <item x="5"/>
        <item x="2"/>
        <item x="4"/>
        <item x="3"/>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11"/>
    </i>
    <i>
      <x v="23"/>
    </i>
    <i>
      <x v="5"/>
    </i>
    <i>
      <x v="9"/>
    </i>
    <i>
      <x v="18"/>
    </i>
    <i>
      <x v="20"/>
    </i>
    <i>
      <x/>
    </i>
    <i>
      <x v="3"/>
    </i>
    <i>
      <x v="14"/>
    </i>
    <i>
      <x v="15"/>
    </i>
    <i t="grand">
      <x/>
    </i>
  </rowItems>
  <colItems count="1">
    <i/>
  </colItems>
  <dataFields count="1">
    <dataField name="Sum of Revenue_Difference" fld="13" baseField="0" baseItem="0"/>
  </dataFields>
  <chartFormats count="2">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38EA0E-64CF-4784-B1AC-B8D2309F539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6" firstHeaderRow="1" firstDataRow="1" firstDataCol="1" rowPageCount="1" colPageCount="1"/>
  <pivotFields count="19">
    <pivotField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showAll="0"/>
    <pivotField showAll="0">
      <items count="8">
        <item x="1"/>
        <item x="0"/>
        <item x="5"/>
        <item x="2"/>
        <item x="4"/>
        <item x="3"/>
        <item x="6"/>
        <item t="default"/>
      </items>
    </pivotField>
    <pivotField showAll="0"/>
    <pivotField showAll="0"/>
    <pivotField showAll="0"/>
    <pivotField showAll="0"/>
    <pivotField showAll="0"/>
    <pivotField showAll="0"/>
    <pivotField showAll="0"/>
    <pivotField dataField="1" showAll="0"/>
    <pivotField showAll="0"/>
    <pivotField axis="axisPage" multipleItemSelectionAllowed="1" showAll="0">
      <items count="3">
        <item x="1"/>
        <item h="1" x="0"/>
        <item t="default"/>
      </items>
    </pivotField>
    <pivotField axis="axisRow" showAll="0">
      <items count="4">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3">
    <i>
      <x/>
    </i>
    <i>
      <x v="1"/>
    </i>
    <i t="grand">
      <x/>
    </i>
  </rowItems>
  <colItems count="1">
    <i/>
  </colItems>
  <pageFields count="1">
    <pageField fld="15" hier="-1"/>
  </pageFields>
  <dataFields count="1">
    <dataField name="Sum of Revenue_Difference" fld="13" baseField="0" baseItem="0"/>
  </dataFields>
  <chartFormats count="6">
    <chartFormat chart="1"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6" count="1" selected="0">
            <x v="0"/>
          </reference>
        </references>
      </pivotArea>
    </chartFormat>
    <chartFormat chart="8" format="6">
      <pivotArea type="data" outline="0" fieldPosition="0">
        <references count="2">
          <reference field="4294967294" count="1" selected="0">
            <x v="0"/>
          </reference>
          <reference field="16" count="1" selected="0">
            <x v="1"/>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EE4373-DF1C-4424-83CD-AB332C5D364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B6" firstHeaderRow="1" firstDataRow="1" firstDataCol="1"/>
  <pivotFields count="19">
    <pivotField dataField="1"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showAll="0"/>
    <pivotField showAll="0">
      <items count="8">
        <item x="1"/>
        <item x="0"/>
        <item x="5"/>
        <item x="2"/>
        <item x="4"/>
        <item x="3"/>
        <item x="6"/>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3">
    <i>
      <x/>
    </i>
    <i>
      <x v="1"/>
    </i>
    <i t="grand">
      <x/>
    </i>
  </rowItems>
  <colItems count="1">
    <i/>
  </colItems>
  <dataFields count="1">
    <dataField name="Count of Order_ID" fld="0" subtotal="count" baseField="0" baseItem="0"/>
  </dataFields>
  <chartFormats count="6">
    <chartFormat chart="1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5" count="1" selected="0">
            <x v="0"/>
          </reference>
        </references>
      </pivotArea>
    </chartFormat>
    <chartFormat chart="16" format="6">
      <pivotArea type="data" outline="0" fieldPosition="0">
        <references count="2">
          <reference field="4294967294" count="1" selected="0">
            <x v="0"/>
          </reference>
          <reference field="15" count="1" selected="0">
            <x v="1"/>
          </reference>
        </references>
      </pivotArea>
    </chartFormat>
    <chartFormat chart="12" format="1">
      <pivotArea type="data" outline="0" fieldPosition="0">
        <references count="2">
          <reference field="4294967294" count="1" selected="0">
            <x v="0"/>
          </reference>
          <reference field="15" count="1" selected="0">
            <x v="0"/>
          </reference>
        </references>
      </pivotArea>
    </chartFormat>
    <chartFormat chart="12" format="2">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393AC0-7F21-4CB0-9EE4-AC39704ABD9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9">
    <pivotField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showAll="0"/>
    <pivotField showAll="0">
      <items count="8">
        <item x="1"/>
        <item x="0"/>
        <item x="5"/>
        <item x="2"/>
        <item x="4"/>
        <item x="3"/>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Leakage_Flag"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AC9949-C358-4A65-A7A1-ACB21A1DD0B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B11" firstHeaderRow="1" firstDataRow="1" firstDataCol="1"/>
  <pivotFields count="19">
    <pivotField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showAll="0"/>
    <pivotField axis="axisRow" showAll="0" sortType="descending">
      <items count="8">
        <item x="1"/>
        <item x="0"/>
        <item x="5"/>
        <item x="2"/>
        <item x="4"/>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8">
    <i>
      <x v="1"/>
    </i>
    <i>
      <x v="3"/>
    </i>
    <i>
      <x v="2"/>
    </i>
    <i>
      <x/>
    </i>
    <i>
      <x v="6"/>
    </i>
    <i>
      <x v="4"/>
    </i>
    <i>
      <x v="5"/>
    </i>
    <i t="grand">
      <x/>
    </i>
  </rowItems>
  <colItems count="1">
    <i/>
  </colItems>
  <dataFields count="1">
    <dataField name="Sum of Revenue_Difference" fld="13" baseField="0" baseItem="0"/>
  </dataFields>
  <conditionalFormats count="1">
    <conditionalFormat priority="1">
      <pivotAreas count="1">
        <pivotArea type="data" collapsedLevelsAreSubtotals="1" fieldPosition="0">
          <references count="2">
            <reference field="4294967294" count="1" selected="0">
              <x v="0"/>
            </reference>
            <reference field="5" count="7">
              <x v="0"/>
              <x v="1"/>
              <x v="2"/>
              <x v="3"/>
              <x v="4"/>
              <x v="5"/>
              <x v="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C14386-0528-434C-A902-C12FF6D195E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0" firstHeaderRow="1" firstDataRow="1" firstDataCol="1"/>
  <pivotFields count="19">
    <pivotField showAll="0"/>
    <pivotField axis="axisRow"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showAll="0"/>
    <pivotField showAll="0">
      <items count="8">
        <item x="1"/>
        <item x="0"/>
        <item x="5"/>
        <item x="2"/>
        <item x="4"/>
        <item x="3"/>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8"/>
    <field x="17"/>
    <field x="1"/>
  </rowFields>
  <rowItems count="7">
    <i>
      <x v="1"/>
    </i>
    <i>
      <x v="2"/>
    </i>
    <i>
      <x v="3"/>
    </i>
    <i>
      <x v="4"/>
    </i>
    <i>
      <x v="5"/>
    </i>
    <i>
      <x v="6"/>
    </i>
    <i t="grand">
      <x/>
    </i>
  </rowItems>
  <colItems count="1">
    <i/>
  </colItems>
  <dataFields count="1">
    <dataField name="Sum of Revenue_Difference" fld="1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035F01-43D1-4E92-ACEC-A2491504D4B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H12" firstHeaderRow="1" firstDataRow="1" firstDataCol="1"/>
  <pivotFields count="19">
    <pivotField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axis="axisRow" showAll="0" measureFilter="1">
      <items count="25">
        <item x="7"/>
        <item x="9"/>
        <item x="15"/>
        <item x="18"/>
        <item x="0"/>
        <item x="12"/>
        <item x="6"/>
        <item x="1"/>
        <item x="17"/>
        <item x="14"/>
        <item x="3"/>
        <item x="13"/>
        <item x="8"/>
        <item x="21"/>
        <item x="22"/>
        <item x="11"/>
        <item x="5"/>
        <item x="10"/>
        <item x="20"/>
        <item x="16"/>
        <item x="4"/>
        <item x="19"/>
        <item x="2"/>
        <item x="23"/>
        <item t="default"/>
      </items>
    </pivotField>
    <pivotField showAll="0">
      <items count="8">
        <item x="1"/>
        <item x="0"/>
        <item x="5"/>
        <item x="2"/>
        <item x="4"/>
        <item x="3"/>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3"/>
    </i>
    <i>
      <x v="5"/>
    </i>
    <i>
      <x v="9"/>
    </i>
    <i>
      <x v="11"/>
    </i>
    <i>
      <x v="14"/>
    </i>
    <i>
      <x v="15"/>
    </i>
    <i>
      <x v="18"/>
    </i>
    <i>
      <x v="20"/>
    </i>
    <i>
      <x v="23"/>
    </i>
    <i t="grand">
      <x/>
    </i>
  </rowItems>
  <colItems count="1">
    <i/>
  </colItems>
  <dataFields count="1">
    <dataField name="Sum of Revenue_Difference" fld="13"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788CD0-847D-42BB-9F9B-15A5BDA9B9A8}" name="PivotTable4"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A26:I33" firstHeaderRow="1" firstDataRow="2" firstDataCol="1"/>
  <pivotFields count="19">
    <pivotField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axis="axisRow" showAll="0">
      <items count="7">
        <item x="1"/>
        <item x="4"/>
        <item x="5"/>
        <item x="3"/>
        <item x="0"/>
        <item x="2"/>
        <item t="default"/>
      </items>
    </pivotField>
    <pivotField showAll="0"/>
    <pivotField axis="axisCol" showAll="0">
      <items count="8">
        <item x="1"/>
        <item x="0"/>
        <item x="5"/>
        <item x="2"/>
        <item x="4"/>
        <item x="3"/>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x v="5"/>
    </i>
  </rowItems>
  <colFields count="1">
    <field x="5"/>
  </colFields>
  <colItems count="8">
    <i>
      <x/>
    </i>
    <i>
      <x v="1"/>
    </i>
    <i>
      <x v="2"/>
    </i>
    <i>
      <x v="3"/>
    </i>
    <i>
      <x v="4"/>
    </i>
    <i>
      <x v="5"/>
    </i>
    <i>
      <x v="6"/>
    </i>
    <i t="grand">
      <x/>
    </i>
  </colItems>
  <dataFields count="1">
    <dataField name="Revenue Generated" fld="13" baseField="0" baseItem="0"/>
  </dataFields>
  <formats count="2">
    <format dxfId="1">
      <pivotArea grandCol="1" outline="0" collapsedLevelsAreSubtotals="1" fieldPosition="0"/>
    </format>
    <format dxfId="0">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2A23E8-94FF-44C6-91DE-8A9C068998C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B13" firstHeaderRow="1" firstDataRow="1" firstDataCol="1"/>
  <pivotFields count="19">
    <pivotField showAll="0"/>
    <pivotField axis="axisRow"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showAll="0"/>
    <pivotField showAll="0">
      <items count="8">
        <item x="1"/>
        <item x="0"/>
        <item x="5"/>
        <item x="2"/>
        <item x="4"/>
        <item x="3"/>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
  </rowFields>
  <rowItems count="7">
    <i>
      <x v="1"/>
    </i>
    <i>
      <x v="2"/>
    </i>
    <i>
      <x v="3"/>
    </i>
    <i>
      <x v="4"/>
    </i>
    <i>
      <x v="5"/>
    </i>
    <i>
      <x v="6"/>
    </i>
    <i t="grand">
      <x/>
    </i>
  </rowItems>
  <colItems count="1">
    <i/>
  </colItems>
  <dataFields count="1">
    <dataField name="Sum of Revenue_Differen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672A12-8DD3-4DBD-994D-53E3837F123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E24" firstHeaderRow="1" firstDataRow="1" firstDataCol="1"/>
  <pivotFields count="19">
    <pivotField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showAll="0"/>
    <pivotField axis="axisRow" showAll="0">
      <items count="8">
        <item x="1"/>
        <item x="0"/>
        <item x="5"/>
        <item x="2"/>
        <item x="4"/>
        <item x="3"/>
        <item x="6"/>
        <item t="default"/>
      </items>
    </pivotField>
    <pivotField axis="axisRow" showAll="0">
      <items count="16">
        <item x="7"/>
        <item x="12"/>
        <item x="8"/>
        <item x="9"/>
        <item x="4"/>
        <item x="2"/>
        <item x="14"/>
        <item x="6"/>
        <item x="1"/>
        <item x="3"/>
        <item x="5"/>
        <item x="13"/>
        <item x="0"/>
        <item x="11"/>
        <item x="10"/>
        <item t="default"/>
      </items>
    </pivotField>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5"/>
    <field x="6"/>
  </rowFields>
  <rowItems count="23">
    <i>
      <x/>
    </i>
    <i r="1">
      <x v="3"/>
    </i>
    <i r="1">
      <x v="5"/>
    </i>
    <i r="1">
      <x v="8"/>
    </i>
    <i r="1">
      <x v="9"/>
    </i>
    <i>
      <x v="1"/>
    </i>
    <i r="1">
      <x v="1"/>
    </i>
    <i r="1">
      <x v="10"/>
    </i>
    <i r="1">
      <x v="12"/>
    </i>
    <i r="1">
      <x v="14"/>
    </i>
    <i>
      <x v="2"/>
    </i>
    <i r="1">
      <x v="11"/>
    </i>
    <i>
      <x v="3"/>
    </i>
    <i r="1">
      <x/>
    </i>
    <i r="1">
      <x v="4"/>
    </i>
    <i r="1">
      <x v="7"/>
    </i>
    <i>
      <x v="4"/>
    </i>
    <i r="1">
      <x v="13"/>
    </i>
    <i>
      <x v="5"/>
    </i>
    <i r="1">
      <x v="2"/>
    </i>
    <i>
      <x v="6"/>
    </i>
    <i r="1">
      <x v="6"/>
    </i>
    <i t="grand">
      <x/>
    </i>
  </rowItems>
  <colItems count="1">
    <i/>
  </colItems>
  <dataFields count="1">
    <dataField name="Sum of Revenue_Differen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2592F8-153E-4446-8BF1-1D6E0B54D76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A19" firstHeaderRow="1" firstDataRow="1" firstDataCol="0"/>
  <pivotFields count="19">
    <pivotField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showAll="0"/>
    <pivotField showAll="0">
      <items count="8">
        <item x="1"/>
        <item x="0"/>
        <item x="5"/>
        <item x="2"/>
        <item x="4"/>
        <item x="3"/>
        <item x="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Expected_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48EB5B-06F1-483C-8F46-9F36139635B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rowPageCount="1" colPageCount="1"/>
  <pivotFields count="19">
    <pivotField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showAll="0"/>
    <pivotField showAll="0">
      <items count="8">
        <item x="1"/>
        <item x="0"/>
        <item x="5"/>
        <item x="2"/>
        <item x="4"/>
        <item x="3"/>
        <item x="6"/>
        <item t="default"/>
      </items>
    </pivotField>
    <pivotField showAll="0"/>
    <pivotField showAll="0"/>
    <pivotField showAll="0"/>
    <pivotField showAll="0"/>
    <pivotField showAll="0"/>
    <pivotField showAll="0"/>
    <pivotField showAll="0"/>
    <pivotField dataField="1" showAll="0"/>
    <pivotField showAll="0"/>
    <pivotField axis="axisPage" multipleItemSelectionAllowed="1" showAll="0">
      <items count="3">
        <item x="1"/>
        <item h="1"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5" hier="-1"/>
  </pageFields>
  <dataFields count="1">
    <dataField name="Total Leakag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E2C370-DF48-43BD-A2F3-A40F6DBB64B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B21" firstHeaderRow="1" firstDataRow="1" firstDataCol="0"/>
  <pivotFields count="19">
    <pivotField dataField="1" showAll="0"/>
    <pivotField numFmtId="164" showAll="0">
      <items count="181">
        <item x="91"/>
        <item x="38"/>
        <item x="10"/>
        <item x="23"/>
        <item x="157"/>
        <item x="51"/>
        <item x="12"/>
        <item x="120"/>
        <item x="7"/>
        <item x="109"/>
        <item x="45"/>
        <item x="134"/>
        <item x="139"/>
        <item x="14"/>
        <item x="124"/>
        <item x="175"/>
        <item x="108"/>
        <item x="64"/>
        <item x="98"/>
        <item x="1"/>
        <item x="145"/>
        <item x="100"/>
        <item x="39"/>
        <item x="97"/>
        <item x="81"/>
        <item x="114"/>
        <item x="179"/>
        <item x="93"/>
        <item x="72"/>
        <item x="56"/>
        <item x="82"/>
        <item x="59"/>
        <item x="118"/>
        <item x="117"/>
        <item x="2"/>
        <item x="88"/>
        <item x="55"/>
        <item x="28"/>
        <item x="130"/>
        <item x="71"/>
        <item x="101"/>
        <item x="159"/>
        <item x="161"/>
        <item x="21"/>
        <item x="104"/>
        <item x="3"/>
        <item x="24"/>
        <item x="107"/>
        <item x="164"/>
        <item x="144"/>
        <item x="106"/>
        <item x="73"/>
        <item x="110"/>
        <item x="20"/>
        <item x="29"/>
        <item x="172"/>
        <item x="17"/>
        <item x="168"/>
        <item x="96"/>
        <item x="92"/>
        <item x="143"/>
        <item x="154"/>
        <item x="65"/>
        <item x="151"/>
        <item x="140"/>
        <item x="167"/>
        <item x="149"/>
        <item x="74"/>
        <item x="42"/>
        <item x="138"/>
        <item x="89"/>
        <item x="166"/>
        <item x="11"/>
        <item x="5"/>
        <item x="53"/>
        <item x="158"/>
        <item x="119"/>
        <item x="121"/>
        <item x="160"/>
        <item x="9"/>
        <item x="54"/>
        <item x="52"/>
        <item x="86"/>
        <item x="30"/>
        <item x="78"/>
        <item x="147"/>
        <item x="46"/>
        <item x="148"/>
        <item x="141"/>
        <item x="94"/>
        <item x="61"/>
        <item x="131"/>
        <item x="165"/>
        <item x="116"/>
        <item x="26"/>
        <item x="155"/>
        <item x="34"/>
        <item x="150"/>
        <item x="129"/>
        <item x="163"/>
        <item x="79"/>
        <item x="48"/>
        <item x="77"/>
        <item x="132"/>
        <item x="169"/>
        <item x="99"/>
        <item x="136"/>
        <item x="0"/>
        <item x="41"/>
        <item x="128"/>
        <item x="153"/>
        <item x="15"/>
        <item x="31"/>
        <item x="44"/>
        <item x="83"/>
        <item x="137"/>
        <item x="111"/>
        <item x="75"/>
        <item x="33"/>
        <item x="69"/>
        <item x="27"/>
        <item x="171"/>
        <item x="16"/>
        <item x="85"/>
        <item x="133"/>
        <item x="50"/>
        <item x="174"/>
        <item x="18"/>
        <item x="113"/>
        <item x="70"/>
        <item x="125"/>
        <item x="123"/>
        <item x="177"/>
        <item x="32"/>
        <item x="156"/>
        <item x="127"/>
        <item x="67"/>
        <item x="76"/>
        <item x="4"/>
        <item x="103"/>
        <item x="146"/>
        <item x="126"/>
        <item x="19"/>
        <item x="162"/>
        <item x="43"/>
        <item x="142"/>
        <item x="57"/>
        <item x="84"/>
        <item x="102"/>
        <item x="112"/>
        <item x="40"/>
        <item x="105"/>
        <item x="178"/>
        <item x="62"/>
        <item x="49"/>
        <item x="135"/>
        <item x="60"/>
        <item x="95"/>
        <item x="63"/>
        <item x="68"/>
        <item x="37"/>
        <item x="13"/>
        <item x="58"/>
        <item x="122"/>
        <item x="22"/>
        <item x="25"/>
        <item x="173"/>
        <item x="66"/>
        <item x="152"/>
        <item x="6"/>
        <item x="90"/>
        <item x="8"/>
        <item x="35"/>
        <item x="170"/>
        <item x="47"/>
        <item x="115"/>
        <item x="176"/>
        <item x="80"/>
        <item x="87"/>
        <item x="36"/>
        <item t="default"/>
      </items>
    </pivotField>
    <pivotField showAll="0">
      <items count="5">
        <item x="0"/>
        <item x="3"/>
        <item x="2"/>
        <item x="1"/>
        <item t="default"/>
      </items>
    </pivotField>
    <pivotField showAll="0">
      <items count="7">
        <item x="1"/>
        <item x="4"/>
        <item x="5"/>
        <item x="3"/>
        <item x="0"/>
        <item x="2"/>
        <item t="default"/>
      </items>
    </pivotField>
    <pivotField showAll="0"/>
    <pivotField showAll="0">
      <items count="8">
        <item x="1"/>
        <item x="0"/>
        <item x="5"/>
        <item x="2"/>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81B664-E4BE-4DAB-BECE-F0CA613814E9}" sourceName="Region">
  <pivotTables>
    <pivotTable tabId="3" name="PivotTable5"/>
    <pivotTable tabId="3" name="PivotTable1"/>
    <pivotTable tabId="3" name="PivotTable2"/>
    <pivotTable tabId="3" name="PivotTable3"/>
    <pivotTable tabId="3" name="PivotTable4"/>
    <pivotTable tabId="3" name="PivotTable6"/>
    <pivotTable tabId="3" name="PivotTable7"/>
    <pivotTable tabId="14" name="PivotTable2"/>
    <pivotTable tabId="15" name="PivotTable3"/>
    <pivotTable tabId="12" name="PivotTable1"/>
    <pivotTable tabId="19" name="PivotTable5"/>
    <pivotTable tabId="20" name="PivotTable6"/>
    <pivotTable tabId="16" name="PivotTable4"/>
  </pivotTables>
  <data>
    <tabular pivotCacheId="258926487">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A88C53ED-0601-41B9-9E35-78F422DD464F}" sourceName="Salesperson">
  <pivotTables>
    <pivotTable tabId="3" name="PivotTable5"/>
    <pivotTable tabId="3" name="PivotTable1"/>
    <pivotTable tabId="3" name="PivotTable2"/>
    <pivotTable tabId="3" name="PivotTable3"/>
    <pivotTable tabId="3" name="PivotTable4"/>
    <pivotTable tabId="3" name="PivotTable6"/>
    <pivotTable tabId="3" name="PivotTable7"/>
    <pivotTable tabId="14" name="PivotTable2"/>
    <pivotTable tabId="15" name="PivotTable3"/>
    <pivotTable tabId="12" name="PivotTable1"/>
    <pivotTable tabId="19" name="PivotTable5"/>
    <pivotTable tabId="20" name="PivotTable6"/>
    <pivotTable tabId="16" name="PivotTable4"/>
  </pivotTables>
  <data>
    <tabular pivotCacheId="258926487">
      <items count="6">
        <i x="1" s="1"/>
        <i x="4" s="1"/>
        <i x="5"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965DDE-B3AD-4833-A70F-A61EEAC21CC9}" sourceName="Category">
  <pivotTables>
    <pivotTable tabId="3" name="PivotTable5"/>
    <pivotTable tabId="3" name="PivotTable1"/>
    <pivotTable tabId="3" name="PivotTable2"/>
    <pivotTable tabId="3" name="PivotTable3"/>
    <pivotTable tabId="3" name="PivotTable4"/>
    <pivotTable tabId="3" name="PivotTable6"/>
    <pivotTable tabId="3" name="PivotTable7"/>
    <pivotTable tabId="14" name="PivotTable2"/>
    <pivotTable tabId="15" name="PivotTable3"/>
    <pivotTable tabId="12" name="PivotTable1"/>
    <pivotTable tabId="19" name="PivotTable5"/>
    <pivotTable tabId="20" name="PivotTable6"/>
    <pivotTable tabId="16" name="PivotTable4"/>
  </pivotTables>
  <data>
    <tabular pivotCacheId="258926487">
      <items count="7">
        <i x="1" s="1"/>
        <i x="0" s="1"/>
        <i x="5" s="1"/>
        <i x="2" s="1"/>
        <i x="4"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4F58662-022E-4154-BA79-07CED4931E39}" cache="Slicer_Region" caption="Region" style="SlicerStyleDark5" rowHeight="234950"/>
  <slicer name="Salesperson 1" xr10:uid="{AA58F15F-2E64-437F-B356-1F4FBFA22050}" cache="Slicer_Salesperson" caption="Salesperson" style="SlicerStyleDark5" rowHeight="234950"/>
  <slicer name="Category 1" xr10:uid="{E991301B-A742-4E37-B00A-E0FBE602972B}" cache="Slicer_Category" caption="Category"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CB6722-33CE-43D4-8E39-BA9B4C3A47EE}" cache="Slicer_Region" caption="Region" rowHeight="234950"/>
  <slicer name="Salesperson" xr10:uid="{EE26DB52-F40A-458B-BE26-4841AA643C67}" cache="Slicer_Salesperson" caption="Salesperson" rowHeight="234950"/>
  <slicer name="Category" xr10:uid="{B10BEC5A-AF26-49D0-8A4F-CC9E6B04847E}"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3931ECA-5DF6-4A8F-B7D8-A615FB1C6AA9}" sourceName="Order_Date">
  <pivotTables>
    <pivotTable tabId="3" name="PivotTable5"/>
    <pivotTable tabId="3" name="PivotTable1"/>
    <pivotTable tabId="3" name="PivotTable2"/>
    <pivotTable tabId="3" name="PivotTable3"/>
    <pivotTable tabId="3" name="PivotTable4"/>
    <pivotTable tabId="3" name="PivotTable6"/>
    <pivotTable tabId="3" name="PivotTable7"/>
    <pivotTable tabId="14" name="PivotTable2"/>
    <pivotTable tabId="15" name="PivotTable3"/>
    <pivotTable tabId="12" name="PivotTable1"/>
    <pivotTable tabId="19" name="PivotTable5"/>
    <pivotTable tabId="20" name="PivotTable6"/>
    <pivotTable tabId="16" name="PivotTable4"/>
  </pivotTables>
  <state minimalRefreshVersion="6" lastRefreshVersion="6" pivotCacheId="258926487"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E748CC44-3A1E-41D0-873D-59A446B50A26}" cache="NativeTimeline_Order_Date" caption="Order_Date" level="2" selectionLevel="2" scrollPosition="2024-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FBC2E89-4BB7-4C80-A7B0-A660EAC1E87C}" cache="NativeTimeline_Order_Date" caption="Order_Date" level="2" selectionLevel="2"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5DF9B-EDBB-45A7-83C3-61A78519E05A}">
  <dimension ref="A8"/>
  <sheetViews>
    <sheetView showGridLines="0" showRowColHeaders="0" topLeftCell="A13" zoomScaleNormal="100" workbookViewId="0">
      <selection activeCell="G14" sqref="G14"/>
    </sheetView>
  </sheetViews>
  <sheetFormatPr defaultRowHeight="14.4" x14ac:dyDescent="0.3"/>
  <cols>
    <col min="10" max="10" width="5.77734375" customWidth="1"/>
    <col min="13" max="13" width="8.88671875" customWidth="1"/>
    <col min="15" max="15" width="8" customWidth="1"/>
    <col min="16" max="16" width="13.44140625" customWidth="1"/>
    <col min="17" max="17" width="10" customWidth="1"/>
    <col min="19" max="19" width="4.5546875" customWidth="1"/>
  </cols>
  <sheetData>
    <row r="8" ht="6"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01"/>
  <sheetViews>
    <sheetView workbookViewId="0">
      <selection activeCell="K9" sqref="K9"/>
    </sheetView>
  </sheetViews>
  <sheetFormatPr defaultRowHeight="14.4" x14ac:dyDescent="0.3"/>
  <cols>
    <col min="2" max="2" width="12.6640625" customWidth="1"/>
    <col min="4" max="4" width="10.5546875" customWidth="1"/>
    <col min="5" max="5" width="23.109375" customWidth="1"/>
    <col min="6" max="6" width="16.44140625" customWidth="1"/>
    <col min="7" max="7" width="15.77734375" customWidth="1"/>
    <col min="8" max="8" width="15.88671875" customWidth="1"/>
    <col min="9" max="9" width="11.21875" customWidth="1"/>
    <col min="10" max="10" width="17.6640625" customWidth="1"/>
    <col min="11" max="11" width="17.77734375" customWidth="1"/>
    <col min="12" max="12" width="21.44140625" customWidth="1"/>
    <col min="13" max="13" width="15.5546875" customWidth="1"/>
    <col min="14" max="14" width="15.88671875" customWidth="1"/>
    <col min="15" max="16" width="8.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s="1">
        <v>45400</v>
      </c>
      <c r="C2" t="s">
        <v>18</v>
      </c>
      <c r="D2" t="s">
        <v>19</v>
      </c>
      <c r="E2" t="s">
        <v>20</v>
      </c>
      <c r="F2" t="s">
        <v>21</v>
      </c>
      <c r="G2" t="s">
        <v>22</v>
      </c>
      <c r="H2">
        <v>6000</v>
      </c>
      <c r="I2">
        <v>14</v>
      </c>
      <c r="J2">
        <v>15</v>
      </c>
      <c r="K2">
        <v>5</v>
      </c>
      <c r="L2">
        <v>73467</v>
      </c>
      <c r="M2">
        <v>72263.240000000005</v>
      </c>
      <c r="N2">
        <f>L2-M2</f>
        <v>1203.7599999999948</v>
      </c>
      <c r="O2" t="s">
        <v>23</v>
      </c>
      <c r="P2" t="s">
        <v>24</v>
      </c>
      <c r="Q2" t="s">
        <v>25</v>
      </c>
    </row>
    <row r="3" spans="1:17" x14ac:dyDescent="0.3">
      <c r="A3" t="s">
        <v>26</v>
      </c>
      <c r="B3" s="1">
        <v>45311</v>
      </c>
      <c r="C3" t="s">
        <v>18</v>
      </c>
      <c r="D3" t="s">
        <v>27</v>
      </c>
      <c r="E3" t="s">
        <v>28</v>
      </c>
      <c r="F3" t="s">
        <v>29</v>
      </c>
      <c r="G3" t="s">
        <v>30</v>
      </c>
      <c r="H3">
        <v>1800</v>
      </c>
      <c r="I3">
        <v>15</v>
      </c>
      <c r="J3">
        <v>15</v>
      </c>
      <c r="K3">
        <v>10</v>
      </c>
      <c r="L3">
        <v>22950</v>
      </c>
      <c r="M3">
        <v>22706.1</v>
      </c>
      <c r="N3">
        <f t="shared" ref="N3:N19" si="0">L3-M3</f>
        <v>243.90000000000146</v>
      </c>
      <c r="O3" t="s">
        <v>23</v>
      </c>
      <c r="P3" t="s">
        <v>31</v>
      </c>
      <c r="Q3" t="s">
        <v>32</v>
      </c>
    </row>
    <row r="4" spans="1:17" x14ac:dyDescent="0.3">
      <c r="A4" t="s">
        <v>33</v>
      </c>
      <c r="B4" s="1">
        <v>45311</v>
      </c>
      <c r="C4" t="s">
        <v>34</v>
      </c>
      <c r="D4" t="s">
        <v>35</v>
      </c>
      <c r="E4" t="s">
        <v>36</v>
      </c>
      <c r="F4" t="s">
        <v>29</v>
      </c>
      <c r="G4" t="s">
        <v>37</v>
      </c>
      <c r="H4">
        <v>1200</v>
      </c>
      <c r="I4">
        <v>12</v>
      </c>
      <c r="J4">
        <v>5</v>
      </c>
      <c r="K4">
        <v>25</v>
      </c>
      <c r="L4">
        <v>13680</v>
      </c>
      <c r="M4">
        <v>12421.09</v>
      </c>
      <c r="N4">
        <f t="shared" si="0"/>
        <v>1258.9099999999999</v>
      </c>
      <c r="O4" t="s">
        <v>38</v>
      </c>
      <c r="P4" t="s">
        <v>31</v>
      </c>
      <c r="Q4" t="s">
        <v>39</v>
      </c>
    </row>
    <row r="5" spans="1:17" x14ac:dyDescent="0.3">
      <c r="A5" t="s">
        <v>40</v>
      </c>
      <c r="B5" s="1">
        <v>45326</v>
      </c>
      <c r="C5" t="s">
        <v>18</v>
      </c>
      <c r="D5" t="s">
        <v>41</v>
      </c>
      <c r="E5" t="s">
        <v>42</v>
      </c>
      <c r="F5" t="s">
        <v>29</v>
      </c>
      <c r="G5" t="s">
        <v>43</v>
      </c>
      <c r="H5">
        <v>500</v>
      </c>
      <c r="I5">
        <v>8</v>
      </c>
      <c r="J5">
        <v>10</v>
      </c>
      <c r="K5">
        <v>0</v>
      </c>
      <c r="L5">
        <v>3600</v>
      </c>
      <c r="M5">
        <v>3374.04</v>
      </c>
      <c r="N5">
        <f t="shared" si="0"/>
        <v>225.96000000000004</v>
      </c>
      <c r="O5" t="s">
        <v>23</v>
      </c>
      <c r="P5" t="s">
        <v>31</v>
      </c>
      <c r="Q5" t="s">
        <v>32</v>
      </c>
    </row>
    <row r="6" spans="1:17" x14ac:dyDescent="0.3">
      <c r="A6" t="s">
        <v>44</v>
      </c>
      <c r="B6" s="1">
        <v>45337</v>
      </c>
      <c r="C6" t="s">
        <v>34</v>
      </c>
      <c r="D6" t="s">
        <v>41</v>
      </c>
      <c r="E6" t="s">
        <v>45</v>
      </c>
      <c r="F6" t="s">
        <v>46</v>
      </c>
      <c r="G6" t="s">
        <v>47</v>
      </c>
      <c r="H6">
        <v>15000</v>
      </c>
      <c r="I6">
        <v>13</v>
      </c>
      <c r="J6">
        <v>10</v>
      </c>
      <c r="K6">
        <v>5</v>
      </c>
      <c r="L6">
        <v>185500</v>
      </c>
      <c r="M6">
        <v>176716.31</v>
      </c>
      <c r="N6">
        <f t="shared" si="0"/>
        <v>8783.6900000000023</v>
      </c>
      <c r="O6" t="s">
        <v>23</v>
      </c>
      <c r="P6" t="s">
        <v>24</v>
      </c>
      <c r="Q6" t="s">
        <v>25</v>
      </c>
    </row>
    <row r="7" spans="1:17" x14ac:dyDescent="0.3">
      <c r="A7" t="s">
        <v>48</v>
      </c>
      <c r="B7" s="1">
        <v>45431</v>
      </c>
      <c r="C7" t="s">
        <v>49</v>
      </c>
      <c r="D7" t="s">
        <v>27</v>
      </c>
      <c r="E7" t="s">
        <v>50</v>
      </c>
      <c r="F7" t="s">
        <v>21</v>
      </c>
      <c r="G7" t="s">
        <v>51</v>
      </c>
      <c r="H7">
        <v>4500</v>
      </c>
      <c r="I7">
        <v>1</v>
      </c>
      <c r="J7">
        <v>5</v>
      </c>
      <c r="K7">
        <v>25</v>
      </c>
      <c r="L7">
        <v>4275</v>
      </c>
      <c r="M7">
        <v>3737.3</v>
      </c>
      <c r="N7">
        <f t="shared" si="0"/>
        <v>537.69999999999982</v>
      </c>
      <c r="O7" t="s">
        <v>38</v>
      </c>
      <c r="P7" t="s">
        <v>31</v>
      </c>
      <c r="Q7" t="s">
        <v>39</v>
      </c>
    </row>
    <row r="8" spans="1:17" x14ac:dyDescent="0.3">
      <c r="A8" t="s">
        <v>52</v>
      </c>
      <c r="B8" s="1">
        <v>45365</v>
      </c>
      <c r="C8" t="s">
        <v>53</v>
      </c>
      <c r="D8" t="s">
        <v>35</v>
      </c>
      <c r="E8" t="s">
        <v>54</v>
      </c>
      <c r="F8" t="s">
        <v>46</v>
      </c>
      <c r="G8" t="s">
        <v>55</v>
      </c>
      <c r="H8">
        <v>4500</v>
      </c>
      <c r="I8">
        <v>2</v>
      </c>
      <c r="J8">
        <v>5</v>
      </c>
      <c r="K8">
        <v>20</v>
      </c>
      <c r="L8">
        <v>8550</v>
      </c>
      <c r="M8">
        <v>8599.59</v>
      </c>
      <c r="N8">
        <f t="shared" si="0"/>
        <v>-49.590000000000146</v>
      </c>
      <c r="O8" t="s">
        <v>38</v>
      </c>
      <c r="P8" t="s">
        <v>24</v>
      </c>
      <c r="Q8" t="s">
        <v>39</v>
      </c>
    </row>
    <row r="9" spans="1:17" x14ac:dyDescent="0.3">
      <c r="A9" t="s">
        <v>56</v>
      </c>
      <c r="B9" s="1">
        <v>45462</v>
      </c>
      <c r="C9" t="s">
        <v>49</v>
      </c>
      <c r="D9" t="s">
        <v>41</v>
      </c>
      <c r="E9" t="s">
        <v>57</v>
      </c>
      <c r="F9" t="s">
        <v>46</v>
      </c>
      <c r="G9" t="s">
        <v>58</v>
      </c>
      <c r="H9">
        <v>18000</v>
      </c>
      <c r="I9">
        <v>13</v>
      </c>
      <c r="J9">
        <v>5</v>
      </c>
      <c r="K9">
        <v>25</v>
      </c>
      <c r="L9">
        <v>222300</v>
      </c>
      <c r="M9">
        <v>228969.61</v>
      </c>
      <c r="N9">
        <f t="shared" si="0"/>
        <v>-6669.609999999986</v>
      </c>
      <c r="O9" t="s">
        <v>38</v>
      </c>
      <c r="P9" t="s">
        <v>24</v>
      </c>
      <c r="Q9" t="s">
        <v>39</v>
      </c>
    </row>
    <row r="10" spans="1:17" x14ac:dyDescent="0.3">
      <c r="A10" t="s">
        <v>59</v>
      </c>
      <c r="B10" s="1">
        <v>45300</v>
      </c>
      <c r="C10" t="s">
        <v>18</v>
      </c>
      <c r="D10" t="s">
        <v>19</v>
      </c>
      <c r="E10" t="s">
        <v>45</v>
      </c>
      <c r="F10" t="s">
        <v>46</v>
      </c>
      <c r="G10" t="s">
        <v>47</v>
      </c>
      <c r="H10">
        <v>15000</v>
      </c>
      <c r="I10">
        <v>3</v>
      </c>
      <c r="J10">
        <v>5</v>
      </c>
      <c r="K10">
        <v>25</v>
      </c>
      <c r="L10">
        <v>42750</v>
      </c>
      <c r="M10">
        <v>39688.49</v>
      </c>
      <c r="N10">
        <f t="shared" si="0"/>
        <v>3061.510000000002</v>
      </c>
      <c r="O10" t="s">
        <v>38</v>
      </c>
      <c r="P10" t="s">
        <v>31</v>
      </c>
      <c r="Q10" t="s">
        <v>39</v>
      </c>
    </row>
    <row r="11" spans="1:17" x14ac:dyDescent="0.3">
      <c r="A11" t="s">
        <v>60</v>
      </c>
      <c r="B11" s="1">
        <v>45464</v>
      </c>
      <c r="C11" t="s">
        <v>53</v>
      </c>
      <c r="D11" t="s">
        <v>35</v>
      </c>
      <c r="E11" t="s">
        <v>61</v>
      </c>
      <c r="F11" t="s">
        <v>29</v>
      </c>
      <c r="G11" t="s">
        <v>43</v>
      </c>
      <c r="H11">
        <v>2800</v>
      </c>
      <c r="I11">
        <v>1</v>
      </c>
      <c r="J11">
        <v>10</v>
      </c>
      <c r="K11">
        <v>20</v>
      </c>
      <c r="L11">
        <v>2520</v>
      </c>
      <c r="M11">
        <v>2213.63</v>
      </c>
      <c r="N11">
        <f t="shared" si="0"/>
        <v>306.36999999999989</v>
      </c>
      <c r="O11" t="s">
        <v>38</v>
      </c>
      <c r="P11" t="s">
        <v>31</v>
      </c>
      <c r="Q11" t="s">
        <v>39</v>
      </c>
    </row>
    <row r="12" spans="1:17" x14ac:dyDescent="0.3">
      <c r="A12" t="s">
        <v>62</v>
      </c>
      <c r="B12" s="1">
        <v>45371</v>
      </c>
      <c r="C12" t="s">
        <v>53</v>
      </c>
      <c r="D12" t="s">
        <v>35</v>
      </c>
      <c r="E12" t="s">
        <v>63</v>
      </c>
      <c r="F12" t="s">
        <v>64</v>
      </c>
      <c r="G12" t="s">
        <v>65</v>
      </c>
      <c r="H12">
        <v>4000</v>
      </c>
      <c r="I12">
        <v>5</v>
      </c>
      <c r="J12">
        <v>15</v>
      </c>
      <c r="K12">
        <v>20</v>
      </c>
      <c r="L12">
        <v>17000</v>
      </c>
      <c r="M12">
        <v>16865.169999999998</v>
      </c>
      <c r="N12">
        <f t="shared" si="0"/>
        <v>134.83000000000175</v>
      </c>
      <c r="O12" t="s">
        <v>38</v>
      </c>
      <c r="P12" t="s">
        <v>31</v>
      </c>
      <c r="Q12" t="s">
        <v>39</v>
      </c>
    </row>
    <row r="13" spans="1:17" x14ac:dyDescent="0.3">
      <c r="A13" t="s">
        <v>66</v>
      </c>
      <c r="B13" s="1">
        <v>45294</v>
      </c>
      <c r="C13" t="s">
        <v>18</v>
      </c>
      <c r="D13" t="s">
        <v>35</v>
      </c>
      <c r="E13" t="s">
        <v>67</v>
      </c>
      <c r="F13" t="s">
        <v>29</v>
      </c>
      <c r="G13" t="s">
        <v>68</v>
      </c>
      <c r="H13">
        <v>1200</v>
      </c>
      <c r="I13">
        <v>6</v>
      </c>
      <c r="J13">
        <v>15</v>
      </c>
      <c r="K13">
        <v>5</v>
      </c>
      <c r="L13">
        <v>6120</v>
      </c>
      <c r="M13">
        <v>5332.16</v>
      </c>
      <c r="N13">
        <f t="shared" si="0"/>
        <v>787.84000000000015</v>
      </c>
      <c r="O13" t="s">
        <v>23</v>
      </c>
      <c r="P13" t="s">
        <v>31</v>
      </c>
      <c r="Q13" t="s">
        <v>32</v>
      </c>
    </row>
    <row r="14" spans="1:17" x14ac:dyDescent="0.3">
      <c r="A14" t="s">
        <v>69</v>
      </c>
      <c r="B14" s="1">
        <v>45364</v>
      </c>
      <c r="C14" t="s">
        <v>53</v>
      </c>
      <c r="D14" t="s">
        <v>70</v>
      </c>
      <c r="E14" t="s">
        <v>71</v>
      </c>
      <c r="F14" t="s">
        <v>21</v>
      </c>
      <c r="G14" t="s">
        <v>72</v>
      </c>
      <c r="H14">
        <v>60000</v>
      </c>
      <c r="I14">
        <v>1</v>
      </c>
      <c r="J14">
        <v>5</v>
      </c>
      <c r="K14">
        <v>0</v>
      </c>
      <c r="L14">
        <v>57000</v>
      </c>
      <c r="M14">
        <v>54474.47</v>
      </c>
      <c r="N14">
        <f t="shared" si="0"/>
        <v>2525.5299999999988</v>
      </c>
      <c r="O14" t="s">
        <v>23</v>
      </c>
      <c r="P14" t="s">
        <v>31</v>
      </c>
      <c r="Q14" t="s">
        <v>32</v>
      </c>
    </row>
    <row r="15" spans="1:17" x14ac:dyDescent="0.3">
      <c r="A15" t="s">
        <v>73</v>
      </c>
      <c r="B15" s="1">
        <v>45298</v>
      </c>
      <c r="C15" t="s">
        <v>49</v>
      </c>
      <c r="D15" t="s">
        <v>35</v>
      </c>
      <c r="E15" t="s">
        <v>50</v>
      </c>
      <c r="F15" t="s">
        <v>21</v>
      </c>
      <c r="G15" t="s">
        <v>51</v>
      </c>
      <c r="H15">
        <v>4500</v>
      </c>
      <c r="I15">
        <v>8</v>
      </c>
      <c r="J15">
        <v>5</v>
      </c>
      <c r="K15">
        <v>15</v>
      </c>
      <c r="L15">
        <v>34200</v>
      </c>
      <c r="M15">
        <v>31322.9</v>
      </c>
      <c r="N15">
        <f t="shared" si="0"/>
        <v>2877.0999999999985</v>
      </c>
      <c r="O15" t="s">
        <v>38</v>
      </c>
      <c r="P15" t="s">
        <v>31</v>
      </c>
      <c r="Q15" t="s">
        <v>39</v>
      </c>
    </row>
    <row r="16" spans="1:17" x14ac:dyDescent="0.3">
      <c r="A16" t="s">
        <v>74</v>
      </c>
      <c r="B16" s="1">
        <v>45454</v>
      </c>
      <c r="C16" t="s">
        <v>53</v>
      </c>
      <c r="D16" t="s">
        <v>70</v>
      </c>
      <c r="E16" t="s">
        <v>75</v>
      </c>
      <c r="F16" t="s">
        <v>76</v>
      </c>
      <c r="G16" t="s">
        <v>77</v>
      </c>
      <c r="H16">
        <v>8000</v>
      </c>
      <c r="I16">
        <v>3</v>
      </c>
      <c r="J16">
        <v>15</v>
      </c>
      <c r="K16">
        <v>20</v>
      </c>
      <c r="L16">
        <v>20400</v>
      </c>
      <c r="M16">
        <v>18698.71</v>
      </c>
      <c r="N16">
        <f t="shared" si="0"/>
        <v>1701.2900000000009</v>
      </c>
      <c r="O16" t="s">
        <v>38</v>
      </c>
      <c r="P16" t="s">
        <v>31</v>
      </c>
      <c r="Q16" t="s">
        <v>39</v>
      </c>
    </row>
    <row r="17" spans="1:17" x14ac:dyDescent="0.3">
      <c r="A17" t="s">
        <v>78</v>
      </c>
      <c r="B17" s="1">
        <v>45305</v>
      </c>
      <c r="C17" t="s">
        <v>18</v>
      </c>
      <c r="D17" t="s">
        <v>70</v>
      </c>
      <c r="E17" t="s">
        <v>75</v>
      </c>
      <c r="F17" t="s">
        <v>76</v>
      </c>
      <c r="G17" t="s">
        <v>77</v>
      </c>
      <c r="H17">
        <v>8000</v>
      </c>
      <c r="I17">
        <v>9</v>
      </c>
      <c r="J17">
        <v>5</v>
      </c>
      <c r="K17">
        <v>20</v>
      </c>
      <c r="L17">
        <v>68400</v>
      </c>
      <c r="M17">
        <v>61972.31</v>
      </c>
      <c r="N17">
        <f t="shared" si="0"/>
        <v>6427.6900000000023</v>
      </c>
      <c r="O17" t="s">
        <v>38</v>
      </c>
      <c r="P17" t="s">
        <v>31</v>
      </c>
      <c r="Q17" t="s">
        <v>39</v>
      </c>
    </row>
    <row r="18" spans="1:17" x14ac:dyDescent="0.3">
      <c r="A18" t="s">
        <v>79</v>
      </c>
      <c r="B18" s="1">
        <v>45404</v>
      </c>
      <c r="C18" t="s">
        <v>49</v>
      </c>
      <c r="D18" t="s">
        <v>70</v>
      </c>
      <c r="E18" t="s">
        <v>50</v>
      </c>
      <c r="F18" t="s">
        <v>21</v>
      </c>
      <c r="G18" t="s">
        <v>51</v>
      </c>
      <c r="H18">
        <v>4500</v>
      </c>
      <c r="I18">
        <v>4</v>
      </c>
      <c r="J18">
        <v>15</v>
      </c>
      <c r="K18">
        <v>0</v>
      </c>
      <c r="L18">
        <v>15300</v>
      </c>
      <c r="M18">
        <v>14310.05</v>
      </c>
      <c r="N18">
        <f t="shared" si="0"/>
        <v>989.95000000000073</v>
      </c>
      <c r="O18" t="s">
        <v>23</v>
      </c>
      <c r="P18" t="s">
        <v>31</v>
      </c>
      <c r="Q18" t="s">
        <v>32</v>
      </c>
    </row>
    <row r="19" spans="1:17" x14ac:dyDescent="0.3">
      <c r="A19" t="s">
        <v>80</v>
      </c>
      <c r="B19" s="1">
        <v>45415</v>
      </c>
      <c r="C19" t="s">
        <v>49</v>
      </c>
      <c r="D19" t="s">
        <v>27</v>
      </c>
      <c r="E19" t="s">
        <v>81</v>
      </c>
      <c r="F19" t="s">
        <v>21</v>
      </c>
      <c r="G19" t="s">
        <v>82</v>
      </c>
      <c r="H19">
        <v>8000</v>
      </c>
      <c r="I19">
        <v>5</v>
      </c>
      <c r="J19">
        <v>15</v>
      </c>
      <c r="K19">
        <v>20</v>
      </c>
      <c r="L19">
        <v>34000</v>
      </c>
      <c r="M19">
        <v>34104.36</v>
      </c>
      <c r="N19">
        <f t="shared" si="0"/>
        <v>-104.36000000000058</v>
      </c>
      <c r="O19" t="s">
        <v>38</v>
      </c>
      <c r="P19" t="s">
        <v>24</v>
      </c>
      <c r="Q19" t="s">
        <v>39</v>
      </c>
    </row>
    <row r="20" spans="1:17" x14ac:dyDescent="0.3">
      <c r="A20" t="s">
        <v>83</v>
      </c>
      <c r="B20" s="1">
        <v>45348</v>
      </c>
      <c r="C20" t="s">
        <v>53</v>
      </c>
      <c r="D20" t="s">
        <v>41</v>
      </c>
      <c r="E20" t="s">
        <v>28</v>
      </c>
      <c r="F20" t="s">
        <v>29</v>
      </c>
      <c r="G20" t="s">
        <v>30</v>
      </c>
      <c r="H20">
        <v>1800</v>
      </c>
      <c r="I20">
        <v>13</v>
      </c>
      <c r="J20">
        <v>10</v>
      </c>
      <c r="K20">
        <v>25</v>
      </c>
      <c r="L20">
        <v>21060</v>
      </c>
      <c r="M20">
        <v>18408.98</v>
      </c>
      <c r="N20">
        <f t="shared" ref="N20:N66" si="1">L20-M20</f>
        <v>2651.0200000000004</v>
      </c>
      <c r="O20" t="s">
        <v>38</v>
      </c>
      <c r="P20" t="s">
        <v>31</v>
      </c>
      <c r="Q20" t="s">
        <v>39</v>
      </c>
    </row>
    <row r="21" spans="1:17" x14ac:dyDescent="0.3">
      <c r="A21" t="s">
        <v>84</v>
      </c>
      <c r="B21" s="1">
        <v>45420</v>
      </c>
      <c r="C21" t="s">
        <v>53</v>
      </c>
      <c r="D21" t="s">
        <v>19</v>
      </c>
      <c r="E21" t="s">
        <v>71</v>
      </c>
      <c r="F21" t="s">
        <v>21</v>
      </c>
      <c r="G21" t="s">
        <v>72</v>
      </c>
      <c r="H21">
        <v>60000</v>
      </c>
      <c r="I21">
        <v>4</v>
      </c>
      <c r="J21">
        <v>15</v>
      </c>
      <c r="K21">
        <v>10</v>
      </c>
      <c r="L21">
        <v>204000</v>
      </c>
      <c r="M21">
        <v>190870.17</v>
      </c>
      <c r="N21">
        <f t="shared" si="1"/>
        <v>13129.829999999987</v>
      </c>
      <c r="O21" t="s">
        <v>23</v>
      </c>
      <c r="P21" t="s">
        <v>31</v>
      </c>
      <c r="Q21" t="s">
        <v>32</v>
      </c>
    </row>
    <row r="22" spans="1:17" x14ac:dyDescent="0.3">
      <c r="A22" t="s">
        <v>85</v>
      </c>
      <c r="B22" s="1">
        <v>45337</v>
      </c>
      <c r="C22" t="s">
        <v>53</v>
      </c>
      <c r="D22" t="s">
        <v>70</v>
      </c>
      <c r="E22" t="s">
        <v>57</v>
      </c>
      <c r="F22" t="s">
        <v>46</v>
      </c>
      <c r="G22" t="s">
        <v>58</v>
      </c>
      <c r="H22">
        <v>18000</v>
      </c>
      <c r="I22">
        <v>14</v>
      </c>
      <c r="J22">
        <v>5</v>
      </c>
      <c r="K22">
        <v>0</v>
      </c>
      <c r="L22">
        <v>239400</v>
      </c>
      <c r="M22">
        <v>236621.48</v>
      </c>
      <c r="N22">
        <f t="shared" si="1"/>
        <v>2778.5199999999895</v>
      </c>
      <c r="O22" t="s">
        <v>23</v>
      </c>
      <c r="P22" t="s">
        <v>31</v>
      </c>
      <c r="Q22" t="s">
        <v>32</v>
      </c>
    </row>
    <row r="23" spans="1:17" x14ac:dyDescent="0.3">
      <c r="A23" t="s">
        <v>86</v>
      </c>
      <c r="B23" s="1">
        <v>45435</v>
      </c>
      <c r="C23" t="s">
        <v>49</v>
      </c>
      <c r="D23" t="s">
        <v>19</v>
      </c>
      <c r="E23" t="s">
        <v>61</v>
      </c>
      <c r="F23" t="s">
        <v>29</v>
      </c>
      <c r="G23" t="s">
        <v>43</v>
      </c>
      <c r="H23">
        <v>2800</v>
      </c>
      <c r="I23">
        <v>3</v>
      </c>
      <c r="J23">
        <v>5</v>
      </c>
      <c r="K23">
        <v>5</v>
      </c>
      <c r="L23">
        <v>7980</v>
      </c>
      <c r="M23">
        <v>7215.49</v>
      </c>
      <c r="N23">
        <f t="shared" si="1"/>
        <v>764.51000000000022</v>
      </c>
      <c r="O23" t="s">
        <v>23</v>
      </c>
      <c r="P23" t="s">
        <v>31</v>
      </c>
      <c r="Q23" t="s">
        <v>32</v>
      </c>
    </row>
    <row r="24" spans="1:17" x14ac:dyDescent="0.3">
      <c r="A24" t="s">
        <v>87</v>
      </c>
      <c r="B24" s="1">
        <v>45345</v>
      </c>
      <c r="C24" t="s">
        <v>34</v>
      </c>
      <c r="D24" t="s">
        <v>27</v>
      </c>
      <c r="E24" t="s">
        <v>67</v>
      </c>
      <c r="F24" t="s">
        <v>29</v>
      </c>
      <c r="G24" t="s">
        <v>68</v>
      </c>
      <c r="H24">
        <v>1200</v>
      </c>
      <c r="I24">
        <v>7</v>
      </c>
      <c r="J24">
        <v>15</v>
      </c>
      <c r="K24">
        <v>0</v>
      </c>
      <c r="L24">
        <v>7140</v>
      </c>
      <c r="M24">
        <v>6248.56</v>
      </c>
      <c r="N24">
        <f t="shared" si="1"/>
        <v>891.4399999999996</v>
      </c>
      <c r="O24" t="s">
        <v>23</v>
      </c>
      <c r="P24" t="s">
        <v>31</v>
      </c>
      <c r="Q24" t="s">
        <v>32</v>
      </c>
    </row>
    <row r="25" spans="1:17" x14ac:dyDescent="0.3">
      <c r="A25" t="s">
        <v>88</v>
      </c>
      <c r="B25" s="1">
        <v>45431</v>
      </c>
      <c r="C25" t="s">
        <v>34</v>
      </c>
      <c r="D25" t="s">
        <v>27</v>
      </c>
      <c r="E25" t="s">
        <v>57</v>
      </c>
      <c r="F25" t="s">
        <v>46</v>
      </c>
      <c r="G25" t="s">
        <v>58</v>
      </c>
      <c r="H25">
        <v>18000</v>
      </c>
      <c r="I25">
        <v>9</v>
      </c>
      <c r="J25">
        <v>10</v>
      </c>
      <c r="K25">
        <v>15</v>
      </c>
      <c r="L25">
        <v>145800</v>
      </c>
      <c r="M25">
        <v>134576.70000000001</v>
      </c>
      <c r="N25">
        <f t="shared" si="1"/>
        <v>11223.299999999988</v>
      </c>
      <c r="O25" t="s">
        <v>38</v>
      </c>
      <c r="P25" t="s">
        <v>31</v>
      </c>
      <c r="Q25" t="s">
        <v>39</v>
      </c>
    </row>
    <row r="26" spans="1:17" x14ac:dyDescent="0.3">
      <c r="A26" t="s">
        <v>89</v>
      </c>
      <c r="B26" s="1">
        <v>45335</v>
      </c>
      <c r="C26" t="s">
        <v>53</v>
      </c>
      <c r="D26" t="s">
        <v>35</v>
      </c>
      <c r="E26" t="s">
        <v>90</v>
      </c>
      <c r="F26" t="s">
        <v>29</v>
      </c>
      <c r="G26" t="s">
        <v>37</v>
      </c>
      <c r="H26">
        <v>6500</v>
      </c>
      <c r="I26">
        <v>1</v>
      </c>
      <c r="J26">
        <v>10</v>
      </c>
      <c r="K26">
        <v>25</v>
      </c>
      <c r="L26">
        <v>5850</v>
      </c>
      <c r="M26">
        <v>5924.33</v>
      </c>
      <c r="N26">
        <f t="shared" si="1"/>
        <v>-74.329999999999927</v>
      </c>
      <c r="O26" t="s">
        <v>38</v>
      </c>
      <c r="P26" t="s">
        <v>24</v>
      </c>
      <c r="Q26" t="s">
        <v>39</v>
      </c>
    </row>
    <row r="27" spans="1:17" x14ac:dyDescent="0.3">
      <c r="A27" t="s">
        <v>91</v>
      </c>
      <c r="B27" s="1">
        <v>45457</v>
      </c>
      <c r="C27" t="s">
        <v>18</v>
      </c>
      <c r="D27" t="s">
        <v>92</v>
      </c>
      <c r="E27" t="s">
        <v>81</v>
      </c>
      <c r="F27" t="s">
        <v>21</v>
      </c>
      <c r="G27" t="s">
        <v>82</v>
      </c>
      <c r="H27">
        <v>8000</v>
      </c>
      <c r="I27">
        <v>5</v>
      </c>
      <c r="J27">
        <v>5</v>
      </c>
      <c r="K27">
        <v>15</v>
      </c>
      <c r="L27">
        <v>38000</v>
      </c>
      <c r="M27">
        <v>35176.44</v>
      </c>
      <c r="N27">
        <f t="shared" si="1"/>
        <v>2823.5599999999977</v>
      </c>
      <c r="O27" t="s">
        <v>38</v>
      </c>
      <c r="P27" t="s">
        <v>31</v>
      </c>
      <c r="Q27" t="s">
        <v>39</v>
      </c>
    </row>
    <row r="28" spans="1:17" x14ac:dyDescent="0.3">
      <c r="A28" t="s">
        <v>93</v>
      </c>
      <c r="B28" s="1">
        <v>45295</v>
      </c>
      <c r="C28" t="s">
        <v>53</v>
      </c>
      <c r="D28" t="s">
        <v>35</v>
      </c>
      <c r="E28" t="s">
        <v>75</v>
      </c>
      <c r="F28" t="s">
        <v>76</v>
      </c>
      <c r="G28" t="s">
        <v>77</v>
      </c>
      <c r="H28">
        <v>8000</v>
      </c>
      <c r="I28">
        <v>7</v>
      </c>
      <c r="J28">
        <v>5</v>
      </c>
      <c r="K28">
        <v>20</v>
      </c>
      <c r="L28">
        <v>53200</v>
      </c>
      <c r="M28">
        <v>45596.04</v>
      </c>
      <c r="N28">
        <f t="shared" si="1"/>
        <v>7603.9599999999991</v>
      </c>
      <c r="O28" t="s">
        <v>38</v>
      </c>
      <c r="P28" t="s">
        <v>31</v>
      </c>
      <c r="Q28" t="s">
        <v>39</v>
      </c>
    </row>
    <row r="29" spans="1:17" x14ac:dyDescent="0.3">
      <c r="A29" t="s">
        <v>94</v>
      </c>
      <c r="B29" s="1">
        <v>45338</v>
      </c>
      <c r="C29" t="s">
        <v>34</v>
      </c>
      <c r="D29" t="s">
        <v>41</v>
      </c>
      <c r="E29" t="s">
        <v>90</v>
      </c>
      <c r="F29" t="s">
        <v>29</v>
      </c>
      <c r="G29" t="s">
        <v>37</v>
      </c>
      <c r="H29">
        <v>6500</v>
      </c>
      <c r="I29">
        <v>6</v>
      </c>
      <c r="J29">
        <v>10</v>
      </c>
      <c r="K29">
        <v>20</v>
      </c>
      <c r="L29">
        <v>35100</v>
      </c>
      <c r="M29">
        <v>30555.23</v>
      </c>
      <c r="N29">
        <f t="shared" si="1"/>
        <v>4544.7700000000004</v>
      </c>
      <c r="O29" t="s">
        <v>38</v>
      </c>
      <c r="P29" t="s">
        <v>31</v>
      </c>
      <c r="Q29" t="s">
        <v>39</v>
      </c>
    </row>
    <row r="30" spans="1:17" x14ac:dyDescent="0.3">
      <c r="A30" t="s">
        <v>95</v>
      </c>
      <c r="B30" s="1">
        <v>45458</v>
      </c>
      <c r="C30" t="s">
        <v>18</v>
      </c>
      <c r="D30" t="s">
        <v>27</v>
      </c>
      <c r="E30" t="s">
        <v>81</v>
      </c>
      <c r="F30" t="s">
        <v>21</v>
      </c>
      <c r="G30" t="s">
        <v>82</v>
      </c>
      <c r="H30">
        <v>8000</v>
      </c>
      <c r="I30">
        <v>11</v>
      </c>
      <c r="J30">
        <v>5</v>
      </c>
      <c r="K30">
        <v>10</v>
      </c>
      <c r="L30">
        <v>83600</v>
      </c>
      <c r="M30">
        <v>77794.600000000006</v>
      </c>
      <c r="N30">
        <f t="shared" si="1"/>
        <v>5805.3999999999942</v>
      </c>
      <c r="O30" t="s">
        <v>38</v>
      </c>
      <c r="P30" t="s">
        <v>31</v>
      </c>
      <c r="Q30" t="s">
        <v>39</v>
      </c>
    </row>
    <row r="31" spans="1:17" x14ac:dyDescent="0.3">
      <c r="A31" t="s">
        <v>96</v>
      </c>
      <c r="B31" s="1">
        <v>45387</v>
      </c>
      <c r="C31" t="s">
        <v>49</v>
      </c>
      <c r="D31" t="s">
        <v>19</v>
      </c>
      <c r="E31" t="s">
        <v>45</v>
      </c>
      <c r="F31" t="s">
        <v>46</v>
      </c>
      <c r="G31" t="s">
        <v>47</v>
      </c>
      <c r="H31">
        <v>15000</v>
      </c>
      <c r="I31">
        <v>11</v>
      </c>
      <c r="J31">
        <v>10</v>
      </c>
      <c r="K31">
        <v>10</v>
      </c>
      <c r="L31">
        <v>148500</v>
      </c>
      <c r="M31">
        <v>130601.82</v>
      </c>
      <c r="N31">
        <f t="shared" si="1"/>
        <v>17898.179999999993</v>
      </c>
      <c r="O31" t="s">
        <v>23</v>
      </c>
      <c r="P31" t="s">
        <v>31</v>
      </c>
      <c r="Q31" t="s">
        <v>32</v>
      </c>
    </row>
    <row r="32" spans="1:17" x14ac:dyDescent="0.3">
      <c r="A32" t="s">
        <v>97</v>
      </c>
      <c r="B32" s="1">
        <v>45413</v>
      </c>
      <c r="C32" t="s">
        <v>18</v>
      </c>
      <c r="D32" t="s">
        <v>35</v>
      </c>
      <c r="E32" t="s">
        <v>75</v>
      </c>
      <c r="F32" t="s">
        <v>76</v>
      </c>
      <c r="G32" t="s">
        <v>77</v>
      </c>
      <c r="H32">
        <v>8000</v>
      </c>
      <c r="I32">
        <v>6</v>
      </c>
      <c r="J32">
        <v>15</v>
      </c>
      <c r="K32">
        <v>25</v>
      </c>
      <c r="L32">
        <v>40800</v>
      </c>
      <c r="M32">
        <v>35512.050000000003</v>
      </c>
      <c r="N32">
        <f t="shared" si="1"/>
        <v>5287.9499999999971</v>
      </c>
      <c r="O32" t="s">
        <v>38</v>
      </c>
      <c r="P32" t="s">
        <v>31</v>
      </c>
      <c r="Q32" t="s">
        <v>39</v>
      </c>
    </row>
    <row r="33" spans="1:17" x14ac:dyDescent="0.3">
      <c r="A33" t="s">
        <v>98</v>
      </c>
      <c r="B33" s="1">
        <v>45326</v>
      </c>
      <c r="C33" t="s">
        <v>49</v>
      </c>
      <c r="D33" t="s">
        <v>41</v>
      </c>
      <c r="E33" t="s">
        <v>28</v>
      </c>
      <c r="F33" t="s">
        <v>29</v>
      </c>
      <c r="G33" t="s">
        <v>30</v>
      </c>
      <c r="H33">
        <v>1800</v>
      </c>
      <c r="I33">
        <v>4</v>
      </c>
      <c r="J33">
        <v>5</v>
      </c>
      <c r="K33">
        <v>10</v>
      </c>
      <c r="L33">
        <v>6840</v>
      </c>
      <c r="M33">
        <v>5855.76</v>
      </c>
      <c r="N33">
        <f t="shared" si="1"/>
        <v>984.23999999999978</v>
      </c>
      <c r="O33" t="s">
        <v>38</v>
      </c>
      <c r="P33" t="s">
        <v>31</v>
      </c>
      <c r="Q33" t="s">
        <v>39</v>
      </c>
    </row>
    <row r="34" spans="1:17" x14ac:dyDescent="0.3">
      <c r="A34" t="s">
        <v>99</v>
      </c>
      <c r="B34" s="1">
        <v>45329</v>
      </c>
      <c r="C34" t="s">
        <v>18</v>
      </c>
      <c r="D34" t="s">
        <v>41</v>
      </c>
      <c r="E34" t="s">
        <v>100</v>
      </c>
      <c r="F34" t="s">
        <v>46</v>
      </c>
      <c r="G34" t="s">
        <v>55</v>
      </c>
      <c r="H34">
        <v>2500</v>
      </c>
      <c r="I34">
        <v>7</v>
      </c>
      <c r="J34">
        <v>5</v>
      </c>
      <c r="K34">
        <v>0</v>
      </c>
      <c r="L34">
        <v>16625</v>
      </c>
      <c r="M34">
        <v>14907.81</v>
      </c>
      <c r="N34">
        <f t="shared" si="1"/>
        <v>1717.1900000000005</v>
      </c>
      <c r="O34" t="s">
        <v>23</v>
      </c>
      <c r="P34" t="s">
        <v>31</v>
      </c>
      <c r="Q34" t="s">
        <v>32</v>
      </c>
    </row>
    <row r="35" spans="1:17" x14ac:dyDescent="0.3">
      <c r="A35" t="s">
        <v>101</v>
      </c>
      <c r="B35" s="1">
        <v>45346</v>
      </c>
      <c r="C35" t="s">
        <v>18</v>
      </c>
      <c r="D35" t="s">
        <v>27</v>
      </c>
      <c r="E35" t="s">
        <v>102</v>
      </c>
      <c r="F35" t="s">
        <v>29</v>
      </c>
      <c r="G35" t="s">
        <v>43</v>
      </c>
      <c r="H35">
        <v>1500</v>
      </c>
      <c r="I35">
        <v>3</v>
      </c>
      <c r="J35">
        <v>5</v>
      </c>
      <c r="K35">
        <v>0</v>
      </c>
      <c r="L35">
        <v>4275</v>
      </c>
      <c r="M35">
        <v>4120.03</v>
      </c>
      <c r="N35">
        <f t="shared" si="1"/>
        <v>154.97000000000025</v>
      </c>
      <c r="O35" t="s">
        <v>23</v>
      </c>
      <c r="P35" t="s">
        <v>31</v>
      </c>
      <c r="Q35" t="s">
        <v>32</v>
      </c>
    </row>
    <row r="36" spans="1:17" x14ac:dyDescent="0.3">
      <c r="A36" t="s">
        <v>103</v>
      </c>
      <c r="B36" s="1">
        <v>45375</v>
      </c>
      <c r="C36" t="s">
        <v>34</v>
      </c>
      <c r="D36" t="s">
        <v>19</v>
      </c>
      <c r="E36" t="s">
        <v>104</v>
      </c>
      <c r="F36" t="s">
        <v>29</v>
      </c>
      <c r="G36" t="s">
        <v>30</v>
      </c>
      <c r="H36">
        <v>1200</v>
      </c>
      <c r="I36">
        <v>13</v>
      </c>
      <c r="J36">
        <v>10</v>
      </c>
      <c r="K36">
        <v>20</v>
      </c>
      <c r="L36">
        <v>14040</v>
      </c>
      <c r="M36">
        <v>13842.85</v>
      </c>
      <c r="N36">
        <f t="shared" si="1"/>
        <v>197.14999999999964</v>
      </c>
      <c r="O36" t="s">
        <v>38</v>
      </c>
      <c r="P36" t="s">
        <v>31</v>
      </c>
      <c r="Q36" t="s">
        <v>39</v>
      </c>
    </row>
    <row r="37" spans="1:17" x14ac:dyDescent="0.3">
      <c r="A37" t="s">
        <v>105</v>
      </c>
      <c r="B37" s="1">
        <v>45405</v>
      </c>
      <c r="C37" t="s">
        <v>18</v>
      </c>
      <c r="D37" t="s">
        <v>70</v>
      </c>
      <c r="E37" t="s">
        <v>42</v>
      </c>
      <c r="F37" t="s">
        <v>29</v>
      </c>
      <c r="G37" t="s">
        <v>43</v>
      </c>
      <c r="H37">
        <v>500</v>
      </c>
      <c r="I37">
        <v>8</v>
      </c>
      <c r="J37">
        <v>15</v>
      </c>
      <c r="K37">
        <v>0</v>
      </c>
      <c r="L37">
        <v>3400</v>
      </c>
      <c r="M37">
        <v>3195.24</v>
      </c>
      <c r="N37">
        <f t="shared" si="1"/>
        <v>204.76000000000022</v>
      </c>
      <c r="O37" t="s">
        <v>23</v>
      </c>
      <c r="P37" t="s">
        <v>31</v>
      </c>
      <c r="Q37" t="s">
        <v>32</v>
      </c>
    </row>
    <row r="38" spans="1:17" x14ac:dyDescent="0.3">
      <c r="A38" t="s">
        <v>106</v>
      </c>
      <c r="B38" s="1">
        <v>45295</v>
      </c>
      <c r="C38" t="s">
        <v>18</v>
      </c>
      <c r="D38" t="s">
        <v>70</v>
      </c>
      <c r="E38" t="s">
        <v>107</v>
      </c>
      <c r="F38" t="s">
        <v>108</v>
      </c>
      <c r="G38" t="s">
        <v>109</v>
      </c>
      <c r="H38">
        <v>18000</v>
      </c>
      <c r="I38">
        <v>14</v>
      </c>
      <c r="J38">
        <v>10</v>
      </c>
      <c r="K38">
        <v>25</v>
      </c>
      <c r="L38">
        <v>226800</v>
      </c>
      <c r="M38">
        <v>201958.58</v>
      </c>
      <c r="N38">
        <f t="shared" si="1"/>
        <v>24841.420000000013</v>
      </c>
      <c r="O38" t="s">
        <v>38</v>
      </c>
      <c r="P38" t="s">
        <v>31</v>
      </c>
      <c r="Q38" t="s">
        <v>39</v>
      </c>
    </row>
    <row r="39" spans="1:17" x14ac:dyDescent="0.3">
      <c r="A39" t="s">
        <v>110</v>
      </c>
      <c r="B39" s="1">
        <v>45426</v>
      </c>
      <c r="C39" t="s">
        <v>49</v>
      </c>
      <c r="D39" t="s">
        <v>19</v>
      </c>
      <c r="E39" t="s">
        <v>42</v>
      </c>
      <c r="F39" t="s">
        <v>29</v>
      </c>
      <c r="G39" t="s">
        <v>43</v>
      </c>
      <c r="H39">
        <v>500</v>
      </c>
      <c r="I39">
        <v>3</v>
      </c>
      <c r="J39">
        <v>15</v>
      </c>
      <c r="K39">
        <v>5</v>
      </c>
      <c r="L39">
        <v>1275</v>
      </c>
      <c r="M39">
        <v>1165.22</v>
      </c>
      <c r="N39">
        <f t="shared" si="1"/>
        <v>109.77999999999997</v>
      </c>
      <c r="O39" t="s">
        <v>23</v>
      </c>
      <c r="P39" t="s">
        <v>31</v>
      </c>
      <c r="Q39" t="s">
        <v>32</v>
      </c>
    </row>
    <row r="40" spans="1:17" x14ac:dyDescent="0.3">
      <c r="A40" t="s">
        <v>111</v>
      </c>
      <c r="B40" s="1">
        <v>45411</v>
      </c>
      <c r="C40" t="s">
        <v>34</v>
      </c>
      <c r="D40" t="s">
        <v>41</v>
      </c>
      <c r="E40" t="s">
        <v>20</v>
      </c>
      <c r="F40" t="s">
        <v>21</v>
      </c>
      <c r="G40" t="s">
        <v>22</v>
      </c>
      <c r="H40">
        <v>6000</v>
      </c>
      <c r="I40">
        <v>14</v>
      </c>
      <c r="J40">
        <v>5</v>
      </c>
      <c r="K40">
        <v>10</v>
      </c>
      <c r="L40">
        <v>79800</v>
      </c>
      <c r="M40">
        <v>68346.92</v>
      </c>
      <c r="N40">
        <f t="shared" si="1"/>
        <v>11453.080000000002</v>
      </c>
      <c r="O40" t="s">
        <v>38</v>
      </c>
      <c r="P40" t="s">
        <v>31</v>
      </c>
      <c r="Q40" t="s">
        <v>39</v>
      </c>
    </row>
    <row r="41" spans="1:17" x14ac:dyDescent="0.3">
      <c r="A41" t="s">
        <v>112</v>
      </c>
      <c r="B41" s="1">
        <v>45389</v>
      </c>
      <c r="C41" t="s">
        <v>49</v>
      </c>
      <c r="D41" t="s">
        <v>41</v>
      </c>
      <c r="E41" t="s">
        <v>20</v>
      </c>
      <c r="F41" t="s">
        <v>21</v>
      </c>
      <c r="G41" t="s">
        <v>22</v>
      </c>
      <c r="H41">
        <v>6000</v>
      </c>
      <c r="I41">
        <v>7</v>
      </c>
      <c r="J41">
        <v>15</v>
      </c>
      <c r="K41">
        <v>15</v>
      </c>
      <c r="L41">
        <v>35700</v>
      </c>
      <c r="M41">
        <v>36499.17</v>
      </c>
      <c r="N41">
        <f t="shared" si="1"/>
        <v>-799.16999999999825</v>
      </c>
      <c r="O41" t="s">
        <v>23</v>
      </c>
      <c r="P41" t="s">
        <v>24</v>
      </c>
      <c r="Q41" t="s">
        <v>25</v>
      </c>
    </row>
    <row r="42" spans="1:17" x14ac:dyDescent="0.3">
      <c r="A42" t="s">
        <v>113</v>
      </c>
      <c r="B42" s="1">
        <v>45465</v>
      </c>
      <c r="C42" t="s">
        <v>34</v>
      </c>
      <c r="D42" t="s">
        <v>27</v>
      </c>
      <c r="E42" t="s">
        <v>42</v>
      </c>
      <c r="F42" t="s">
        <v>29</v>
      </c>
      <c r="G42" t="s">
        <v>43</v>
      </c>
      <c r="H42">
        <v>500</v>
      </c>
      <c r="I42">
        <v>10</v>
      </c>
      <c r="J42">
        <v>5</v>
      </c>
      <c r="K42">
        <v>0</v>
      </c>
      <c r="L42">
        <v>4750</v>
      </c>
      <c r="M42">
        <v>4109.29</v>
      </c>
      <c r="N42">
        <f t="shared" si="1"/>
        <v>640.71</v>
      </c>
      <c r="O42" t="s">
        <v>23</v>
      </c>
      <c r="P42" t="s">
        <v>31</v>
      </c>
      <c r="Q42" t="s">
        <v>32</v>
      </c>
    </row>
    <row r="43" spans="1:17" x14ac:dyDescent="0.3">
      <c r="A43" t="s">
        <v>114</v>
      </c>
      <c r="B43" s="1">
        <v>45472</v>
      </c>
      <c r="C43" t="s">
        <v>53</v>
      </c>
      <c r="D43" t="s">
        <v>35</v>
      </c>
      <c r="E43" t="s">
        <v>42</v>
      </c>
      <c r="F43" t="s">
        <v>29</v>
      </c>
      <c r="G43" t="s">
        <v>43</v>
      </c>
      <c r="H43">
        <v>500</v>
      </c>
      <c r="I43">
        <v>7</v>
      </c>
      <c r="J43">
        <v>5</v>
      </c>
      <c r="K43">
        <v>10</v>
      </c>
      <c r="L43">
        <v>3325</v>
      </c>
      <c r="M43">
        <v>2851.22</v>
      </c>
      <c r="N43">
        <f t="shared" si="1"/>
        <v>473.7800000000002</v>
      </c>
      <c r="O43" t="s">
        <v>38</v>
      </c>
      <c r="P43" t="s">
        <v>31</v>
      </c>
      <c r="Q43" t="s">
        <v>39</v>
      </c>
    </row>
    <row r="44" spans="1:17" x14ac:dyDescent="0.3">
      <c r="A44" t="s">
        <v>115</v>
      </c>
      <c r="B44" s="1">
        <v>45453</v>
      </c>
      <c r="C44" t="s">
        <v>34</v>
      </c>
      <c r="D44" t="s">
        <v>19</v>
      </c>
      <c r="E44" t="s">
        <v>20</v>
      </c>
      <c r="F44" t="s">
        <v>21</v>
      </c>
      <c r="G44" t="s">
        <v>22</v>
      </c>
      <c r="H44">
        <v>6000</v>
      </c>
      <c r="I44">
        <v>9</v>
      </c>
      <c r="J44">
        <v>5</v>
      </c>
      <c r="K44">
        <v>5</v>
      </c>
      <c r="L44">
        <v>51300</v>
      </c>
      <c r="M44">
        <v>49326.75</v>
      </c>
      <c r="N44">
        <f t="shared" si="1"/>
        <v>1973.25</v>
      </c>
      <c r="O44" t="s">
        <v>23</v>
      </c>
      <c r="P44" t="s">
        <v>31</v>
      </c>
      <c r="Q44" t="s">
        <v>32</v>
      </c>
    </row>
    <row r="45" spans="1:17" x14ac:dyDescent="0.3">
      <c r="A45" t="s">
        <v>116</v>
      </c>
      <c r="B45" s="1">
        <v>45375</v>
      </c>
      <c r="C45" t="s">
        <v>18</v>
      </c>
      <c r="D45" t="s">
        <v>19</v>
      </c>
      <c r="E45" t="s">
        <v>104</v>
      </c>
      <c r="F45" t="s">
        <v>29</v>
      </c>
      <c r="G45" t="s">
        <v>30</v>
      </c>
      <c r="H45">
        <v>1200</v>
      </c>
      <c r="I45">
        <v>1</v>
      </c>
      <c r="J45">
        <v>10</v>
      </c>
      <c r="K45">
        <v>20</v>
      </c>
      <c r="L45">
        <v>1080</v>
      </c>
      <c r="M45">
        <v>920.21</v>
      </c>
      <c r="N45">
        <f t="shared" si="1"/>
        <v>159.78999999999996</v>
      </c>
      <c r="O45" t="s">
        <v>38</v>
      </c>
      <c r="P45" t="s">
        <v>31</v>
      </c>
      <c r="Q45" t="s">
        <v>39</v>
      </c>
    </row>
    <row r="46" spans="1:17" x14ac:dyDescent="0.3">
      <c r="A46" t="s">
        <v>117</v>
      </c>
      <c r="B46" s="1">
        <v>45298</v>
      </c>
      <c r="C46" t="s">
        <v>18</v>
      </c>
      <c r="D46" t="s">
        <v>19</v>
      </c>
      <c r="E46" t="s">
        <v>36</v>
      </c>
      <c r="F46" t="s">
        <v>29</v>
      </c>
      <c r="G46" t="s">
        <v>37</v>
      </c>
      <c r="H46">
        <v>1200</v>
      </c>
      <c r="I46">
        <v>8</v>
      </c>
      <c r="J46">
        <v>15</v>
      </c>
      <c r="K46">
        <v>20</v>
      </c>
      <c r="L46">
        <v>8160</v>
      </c>
      <c r="M46">
        <v>8526</v>
      </c>
      <c r="N46">
        <f t="shared" si="1"/>
        <v>-366</v>
      </c>
      <c r="O46" t="s">
        <v>38</v>
      </c>
      <c r="P46" t="s">
        <v>24</v>
      </c>
      <c r="Q46" t="s">
        <v>39</v>
      </c>
    </row>
    <row r="47" spans="1:17" x14ac:dyDescent="0.3">
      <c r="A47" t="s">
        <v>118</v>
      </c>
      <c r="B47" s="1">
        <v>45293</v>
      </c>
      <c r="C47" t="s">
        <v>18</v>
      </c>
      <c r="D47" t="s">
        <v>92</v>
      </c>
      <c r="E47" t="s">
        <v>107</v>
      </c>
      <c r="F47" t="s">
        <v>108</v>
      </c>
      <c r="G47" t="s">
        <v>109</v>
      </c>
      <c r="H47">
        <v>18000</v>
      </c>
      <c r="I47">
        <v>9</v>
      </c>
      <c r="J47">
        <v>15</v>
      </c>
      <c r="K47">
        <v>25</v>
      </c>
      <c r="L47">
        <v>137700</v>
      </c>
      <c r="M47">
        <v>117339.55</v>
      </c>
      <c r="N47">
        <f t="shared" si="1"/>
        <v>20360.449999999997</v>
      </c>
      <c r="O47" t="s">
        <v>38</v>
      </c>
      <c r="P47" t="s">
        <v>31</v>
      </c>
      <c r="Q47" t="s">
        <v>39</v>
      </c>
    </row>
    <row r="48" spans="1:17" x14ac:dyDescent="0.3">
      <c r="A48" t="s">
        <v>119</v>
      </c>
      <c r="B48" s="1">
        <v>45314</v>
      </c>
      <c r="C48" t="s">
        <v>53</v>
      </c>
      <c r="D48" t="s">
        <v>70</v>
      </c>
      <c r="E48" t="s">
        <v>63</v>
      </c>
      <c r="F48" t="s">
        <v>64</v>
      </c>
      <c r="G48" t="s">
        <v>65</v>
      </c>
      <c r="H48">
        <v>4000</v>
      </c>
      <c r="I48">
        <v>15</v>
      </c>
      <c r="J48">
        <v>10</v>
      </c>
      <c r="K48">
        <v>10</v>
      </c>
      <c r="L48">
        <v>54000</v>
      </c>
      <c r="M48">
        <v>53633.24</v>
      </c>
      <c r="N48">
        <f t="shared" si="1"/>
        <v>366.76000000000204</v>
      </c>
      <c r="O48" t="s">
        <v>23</v>
      </c>
      <c r="P48" t="s">
        <v>31</v>
      </c>
      <c r="Q48" t="s">
        <v>32</v>
      </c>
    </row>
    <row r="49" spans="1:17" x14ac:dyDescent="0.3">
      <c r="A49" t="s">
        <v>120</v>
      </c>
      <c r="B49" s="1">
        <v>45443</v>
      </c>
      <c r="C49" t="s">
        <v>53</v>
      </c>
      <c r="D49" t="s">
        <v>70</v>
      </c>
      <c r="E49" t="s">
        <v>61</v>
      </c>
      <c r="F49" t="s">
        <v>29</v>
      </c>
      <c r="G49" t="s">
        <v>43</v>
      </c>
      <c r="H49">
        <v>2800</v>
      </c>
      <c r="I49">
        <v>2</v>
      </c>
      <c r="J49">
        <v>15</v>
      </c>
      <c r="K49">
        <v>10</v>
      </c>
      <c r="L49">
        <v>4760</v>
      </c>
      <c r="M49">
        <v>4991.54</v>
      </c>
      <c r="N49">
        <f t="shared" si="1"/>
        <v>-231.53999999999996</v>
      </c>
      <c r="O49" t="s">
        <v>23</v>
      </c>
      <c r="P49" t="s">
        <v>24</v>
      </c>
      <c r="Q49" t="s">
        <v>25</v>
      </c>
    </row>
    <row r="50" spans="1:17" x14ac:dyDescent="0.3">
      <c r="A50" t="s">
        <v>121</v>
      </c>
      <c r="B50" s="1">
        <v>45401</v>
      </c>
      <c r="C50" t="s">
        <v>53</v>
      </c>
      <c r="D50" t="s">
        <v>35</v>
      </c>
      <c r="E50" t="s">
        <v>50</v>
      </c>
      <c r="F50" t="s">
        <v>21</v>
      </c>
      <c r="G50" t="s">
        <v>51</v>
      </c>
      <c r="H50">
        <v>4500</v>
      </c>
      <c r="I50">
        <v>10</v>
      </c>
      <c r="J50">
        <v>10</v>
      </c>
      <c r="K50">
        <v>5</v>
      </c>
      <c r="L50">
        <v>40500</v>
      </c>
      <c r="M50">
        <v>39787.879999999997</v>
      </c>
      <c r="N50">
        <f t="shared" si="1"/>
        <v>712.12000000000262</v>
      </c>
      <c r="O50" t="s">
        <v>23</v>
      </c>
      <c r="P50" t="s">
        <v>31</v>
      </c>
      <c r="Q50" t="s">
        <v>32</v>
      </c>
    </row>
    <row r="51" spans="1:17" x14ac:dyDescent="0.3">
      <c r="A51" t="s">
        <v>122</v>
      </c>
      <c r="B51" s="1">
        <v>45360</v>
      </c>
      <c r="C51" t="s">
        <v>34</v>
      </c>
      <c r="D51" t="s">
        <v>35</v>
      </c>
      <c r="E51" t="s">
        <v>61</v>
      </c>
      <c r="F51" t="s">
        <v>29</v>
      </c>
      <c r="G51" t="s">
        <v>43</v>
      </c>
      <c r="H51">
        <v>2800</v>
      </c>
      <c r="I51">
        <v>13</v>
      </c>
      <c r="J51">
        <v>10</v>
      </c>
      <c r="K51">
        <v>0</v>
      </c>
      <c r="L51">
        <v>32760</v>
      </c>
      <c r="M51">
        <v>28195.55</v>
      </c>
      <c r="N51">
        <f t="shared" si="1"/>
        <v>4564.4500000000007</v>
      </c>
      <c r="O51" t="s">
        <v>23</v>
      </c>
      <c r="P51" t="s">
        <v>31</v>
      </c>
      <c r="Q51" t="s">
        <v>32</v>
      </c>
    </row>
    <row r="52" spans="1:17" x14ac:dyDescent="0.3">
      <c r="A52" t="s">
        <v>123</v>
      </c>
      <c r="B52" s="1">
        <v>45437</v>
      </c>
      <c r="C52" t="s">
        <v>18</v>
      </c>
      <c r="D52" t="s">
        <v>27</v>
      </c>
      <c r="E52" t="s">
        <v>45</v>
      </c>
      <c r="F52" t="s">
        <v>46</v>
      </c>
      <c r="G52" t="s">
        <v>47</v>
      </c>
      <c r="H52">
        <v>15000</v>
      </c>
      <c r="I52">
        <v>14</v>
      </c>
      <c r="J52">
        <v>15</v>
      </c>
      <c r="K52">
        <v>15</v>
      </c>
      <c r="L52">
        <v>178500</v>
      </c>
      <c r="M52">
        <v>187186.64</v>
      </c>
      <c r="N52">
        <f t="shared" si="1"/>
        <v>-8686.640000000014</v>
      </c>
      <c r="O52" t="s">
        <v>23</v>
      </c>
      <c r="P52" t="s">
        <v>24</v>
      </c>
      <c r="Q52" t="s">
        <v>25</v>
      </c>
    </row>
    <row r="53" spans="1:17" x14ac:dyDescent="0.3">
      <c r="A53" t="s">
        <v>124</v>
      </c>
      <c r="B53" s="1">
        <v>45389</v>
      </c>
      <c r="C53" t="s">
        <v>18</v>
      </c>
      <c r="D53" t="s">
        <v>92</v>
      </c>
      <c r="E53" t="s">
        <v>71</v>
      </c>
      <c r="F53" t="s">
        <v>21</v>
      </c>
      <c r="G53" t="s">
        <v>72</v>
      </c>
      <c r="H53">
        <v>60000</v>
      </c>
      <c r="I53">
        <v>3</v>
      </c>
      <c r="J53">
        <v>5</v>
      </c>
      <c r="K53">
        <v>10</v>
      </c>
      <c r="L53">
        <v>171000</v>
      </c>
      <c r="M53">
        <v>163051</v>
      </c>
      <c r="N53">
        <f t="shared" si="1"/>
        <v>7949</v>
      </c>
      <c r="O53" t="s">
        <v>38</v>
      </c>
      <c r="P53" t="s">
        <v>31</v>
      </c>
      <c r="Q53" t="s">
        <v>39</v>
      </c>
    </row>
    <row r="54" spans="1:17" x14ac:dyDescent="0.3">
      <c r="A54" t="s">
        <v>125</v>
      </c>
      <c r="B54" s="1">
        <v>45406</v>
      </c>
      <c r="C54" t="s">
        <v>34</v>
      </c>
      <c r="D54" t="s">
        <v>92</v>
      </c>
      <c r="E54" t="s">
        <v>28</v>
      </c>
      <c r="F54" t="s">
        <v>29</v>
      </c>
      <c r="G54" t="s">
        <v>30</v>
      </c>
      <c r="H54">
        <v>1800</v>
      </c>
      <c r="I54">
        <v>5</v>
      </c>
      <c r="J54">
        <v>5</v>
      </c>
      <c r="K54">
        <v>10</v>
      </c>
      <c r="L54">
        <v>8550</v>
      </c>
      <c r="M54">
        <v>8337.7000000000007</v>
      </c>
      <c r="N54">
        <f t="shared" si="1"/>
        <v>212.29999999999927</v>
      </c>
      <c r="O54" t="s">
        <v>38</v>
      </c>
      <c r="P54" t="s">
        <v>31</v>
      </c>
      <c r="Q54" t="s">
        <v>39</v>
      </c>
    </row>
    <row r="55" spans="1:17" x14ac:dyDescent="0.3">
      <c r="A55" t="s">
        <v>126</v>
      </c>
      <c r="B55" s="1">
        <v>45302</v>
      </c>
      <c r="C55" t="s">
        <v>34</v>
      </c>
      <c r="D55" t="s">
        <v>35</v>
      </c>
      <c r="E55" t="s">
        <v>36</v>
      </c>
      <c r="F55" t="s">
        <v>29</v>
      </c>
      <c r="G55" t="s">
        <v>37</v>
      </c>
      <c r="H55">
        <v>1200</v>
      </c>
      <c r="I55">
        <v>9</v>
      </c>
      <c r="J55">
        <v>15</v>
      </c>
      <c r="K55">
        <v>20</v>
      </c>
      <c r="L55">
        <v>9180</v>
      </c>
      <c r="M55">
        <v>7958.71</v>
      </c>
      <c r="N55">
        <f t="shared" si="1"/>
        <v>1221.29</v>
      </c>
      <c r="O55" t="s">
        <v>38</v>
      </c>
      <c r="P55" t="s">
        <v>31</v>
      </c>
      <c r="Q55" t="s">
        <v>39</v>
      </c>
    </row>
    <row r="56" spans="1:17" x14ac:dyDescent="0.3">
      <c r="A56" t="s">
        <v>127</v>
      </c>
      <c r="B56" s="1">
        <v>45378</v>
      </c>
      <c r="C56" t="s">
        <v>34</v>
      </c>
      <c r="D56" t="s">
        <v>92</v>
      </c>
      <c r="E56" t="s">
        <v>61</v>
      </c>
      <c r="F56" t="s">
        <v>29</v>
      </c>
      <c r="G56" t="s">
        <v>43</v>
      </c>
      <c r="H56">
        <v>2800</v>
      </c>
      <c r="I56">
        <v>10</v>
      </c>
      <c r="J56">
        <v>15</v>
      </c>
      <c r="K56">
        <v>20</v>
      </c>
      <c r="L56">
        <v>23800</v>
      </c>
      <c r="M56">
        <v>22106.95</v>
      </c>
      <c r="N56">
        <f t="shared" si="1"/>
        <v>1693.0499999999993</v>
      </c>
      <c r="O56" t="s">
        <v>38</v>
      </c>
      <c r="P56" t="s">
        <v>31</v>
      </c>
      <c r="Q56" t="s">
        <v>39</v>
      </c>
    </row>
    <row r="57" spans="1:17" x14ac:dyDescent="0.3">
      <c r="A57" t="s">
        <v>128</v>
      </c>
      <c r="B57" s="1">
        <v>45467</v>
      </c>
      <c r="C57" t="s">
        <v>53</v>
      </c>
      <c r="D57" t="s">
        <v>92</v>
      </c>
      <c r="E57" t="s">
        <v>129</v>
      </c>
      <c r="F57" t="s">
        <v>21</v>
      </c>
      <c r="G57" t="s">
        <v>82</v>
      </c>
      <c r="H57">
        <v>3500</v>
      </c>
      <c r="I57">
        <v>1</v>
      </c>
      <c r="J57">
        <v>5</v>
      </c>
      <c r="K57">
        <v>5</v>
      </c>
      <c r="L57">
        <v>3325</v>
      </c>
      <c r="M57">
        <v>3263.81</v>
      </c>
      <c r="N57">
        <f t="shared" si="1"/>
        <v>61.190000000000055</v>
      </c>
      <c r="O57" t="s">
        <v>23</v>
      </c>
      <c r="P57" t="s">
        <v>31</v>
      </c>
      <c r="Q57" t="s">
        <v>32</v>
      </c>
    </row>
    <row r="58" spans="1:17" x14ac:dyDescent="0.3">
      <c r="A58" t="s">
        <v>130</v>
      </c>
      <c r="B58" s="1">
        <v>45389</v>
      </c>
      <c r="C58" t="s">
        <v>53</v>
      </c>
      <c r="D58" t="s">
        <v>27</v>
      </c>
      <c r="E58" t="s">
        <v>45</v>
      </c>
      <c r="F58" t="s">
        <v>46</v>
      </c>
      <c r="G58" t="s">
        <v>47</v>
      </c>
      <c r="H58">
        <v>15000</v>
      </c>
      <c r="I58">
        <v>7</v>
      </c>
      <c r="J58">
        <v>5</v>
      </c>
      <c r="K58">
        <v>10</v>
      </c>
      <c r="L58">
        <v>99750</v>
      </c>
      <c r="M58">
        <v>91208.92</v>
      </c>
      <c r="N58">
        <f t="shared" si="1"/>
        <v>8541.0800000000017</v>
      </c>
      <c r="O58" t="s">
        <v>38</v>
      </c>
      <c r="P58" t="s">
        <v>31</v>
      </c>
      <c r="Q58" t="s">
        <v>39</v>
      </c>
    </row>
    <row r="59" spans="1:17" x14ac:dyDescent="0.3">
      <c r="A59" t="s">
        <v>131</v>
      </c>
      <c r="B59" s="1">
        <v>45394</v>
      </c>
      <c r="C59" t="s">
        <v>34</v>
      </c>
      <c r="D59" t="s">
        <v>19</v>
      </c>
      <c r="E59" t="s">
        <v>36</v>
      </c>
      <c r="F59" t="s">
        <v>29</v>
      </c>
      <c r="G59" t="s">
        <v>37</v>
      </c>
      <c r="H59">
        <v>1200</v>
      </c>
      <c r="I59">
        <v>5</v>
      </c>
      <c r="J59">
        <v>5</v>
      </c>
      <c r="K59">
        <v>0</v>
      </c>
      <c r="L59">
        <v>5700</v>
      </c>
      <c r="M59">
        <v>5940.36</v>
      </c>
      <c r="N59">
        <f t="shared" si="1"/>
        <v>-240.35999999999967</v>
      </c>
      <c r="O59" t="s">
        <v>23</v>
      </c>
      <c r="P59" t="s">
        <v>24</v>
      </c>
      <c r="Q59" t="s">
        <v>25</v>
      </c>
    </row>
    <row r="60" spans="1:17" x14ac:dyDescent="0.3">
      <c r="A60" t="s">
        <v>132</v>
      </c>
      <c r="B60" s="1">
        <v>45437</v>
      </c>
      <c r="C60" t="s">
        <v>34</v>
      </c>
      <c r="D60" t="s">
        <v>35</v>
      </c>
      <c r="E60" t="s">
        <v>20</v>
      </c>
      <c r="F60" t="s">
        <v>21</v>
      </c>
      <c r="G60" t="s">
        <v>22</v>
      </c>
      <c r="H60">
        <v>6000</v>
      </c>
      <c r="I60">
        <v>11</v>
      </c>
      <c r="J60">
        <v>10</v>
      </c>
      <c r="K60">
        <v>0</v>
      </c>
      <c r="L60">
        <v>59400</v>
      </c>
      <c r="M60">
        <v>59461.62</v>
      </c>
      <c r="N60">
        <f t="shared" si="1"/>
        <v>-61.620000000002619</v>
      </c>
      <c r="O60" t="s">
        <v>23</v>
      </c>
      <c r="P60" t="s">
        <v>24</v>
      </c>
      <c r="Q60" t="s">
        <v>25</v>
      </c>
    </row>
    <row r="61" spans="1:17" x14ac:dyDescent="0.3">
      <c r="A61" t="s">
        <v>133</v>
      </c>
      <c r="B61" s="1">
        <v>45447</v>
      </c>
      <c r="C61" t="s">
        <v>18</v>
      </c>
      <c r="D61" t="s">
        <v>70</v>
      </c>
      <c r="E61" t="s">
        <v>81</v>
      </c>
      <c r="F61" t="s">
        <v>21</v>
      </c>
      <c r="G61" t="s">
        <v>82</v>
      </c>
      <c r="H61">
        <v>8000</v>
      </c>
      <c r="I61">
        <v>8</v>
      </c>
      <c r="J61">
        <v>10</v>
      </c>
      <c r="K61">
        <v>10</v>
      </c>
      <c r="L61">
        <v>57600</v>
      </c>
      <c r="M61">
        <v>58517.68</v>
      </c>
      <c r="N61">
        <f t="shared" si="1"/>
        <v>-917.68000000000029</v>
      </c>
      <c r="O61" t="s">
        <v>23</v>
      </c>
      <c r="P61" t="s">
        <v>24</v>
      </c>
      <c r="Q61" t="s">
        <v>25</v>
      </c>
    </row>
    <row r="62" spans="1:17" x14ac:dyDescent="0.3">
      <c r="A62" t="s">
        <v>134</v>
      </c>
      <c r="B62" s="1">
        <v>45418</v>
      </c>
      <c r="C62" t="s">
        <v>53</v>
      </c>
      <c r="D62" t="s">
        <v>35</v>
      </c>
      <c r="E62" t="s">
        <v>71</v>
      </c>
      <c r="F62" t="s">
        <v>21</v>
      </c>
      <c r="G62" t="s">
        <v>72</v>
      </c>
      <c r="H62">
        <v>60000</v>
      </c>
      <c r="I62">
        <v>12</v>
      </c>
      <c r="J62">
        <v>10</v>
      </c>
      <c r="K62">
        <v>25</v>
      </c>
      <c r="L62">
        <v>648000</v>
      </c>
      <c r="M62">
        <v>612143.92000000004</v>
      </c>
      <c r="N62">
        <f t="shared" si="1"/>
        <v>35856.079999999958</v>
      </c>
      <c r="O62" t="s">
        <v>38</v>
      </c>
      <c r="P62" t="s">
        <v>31</v>
      </c>
      <c r="Q62" t="s">
        <v>39</v>
      </c>
    </row>
    <row r="63" spans="1:17" x14ac:dyDescent="0.3">
      <c r="A63" t="s">
        <v>135</v>
      </c>
      <c r="B63" s="1">
        <v>45314</v>
      </c>
      <c r="C63" t="s">
        <v>49</v>
      </c>
      <c r="D63" t="s">
        <v>92</v>
      </c>
      <c r="E63" t="s">
        <v>50</v>
      </c>
      <c r="F63" t="s">
        <v>21</v>
      </c>
      <c r="G63" t="s">
        <v>51</v>
      </c>
      <c r="H63">
        <v>4500</v>
      </c>
      <c r="I63">
        <v>10</v>
      </c>
      <c r="J63">
        <v>15</v>
      </c>
      <c r="K63">
        <v>25</v>
      </c>
      <c r="L63">
        <v>38250</v>
      </c>
      <c r="M63">
        <v>36782.620000000003</v>
      </c>
      <c r="N63">
        <f t="shared" si="1"/>
        <v>1467.3799999999974</v>
      </c>
      <c r="O63" t="s">
        <v>38</v>
      </c>
      <c r="P63" t="s">
        <v>31</v>
      </c>
      <c r="Q63" t="s">
        <v>39</v>
      </c>
    </row>
    <row r="64" spans="1:17" x14ac:dyDescent="0.3">
      <c r="A64" t="s">
        <v>136</v>
      </c>
      <c r="B64" s="1">
        <v>45297</v>
      </c>
      <c r="C64" t="s">
        <v>34</v>
      </c>
      <c r="D64" t="s">
        <v>92</v>
      </c>
      <c r="E64" t="s">
        <v>67</v>
      </c>
      <c r="F64" t="s">
        <v>29</v>
      </c>
      <c r="G64" t="s">
        <v>68</v>
      </c>
      <c r="H64">
        <v>1200</v>
      </c>
      <c r="I64">
        <v>14</v>
      </c>
      <c r="J64">
        <v>15</v>
      </c>
      <c r="K64">
        <v>20</v>
      </c>
      <c r="L64">
        <v>14280</v>
      </c>
      <c r="M64">
        <v>14058.61</v>
      </c>
      <c r="N64">
        <f t="shared" si="1"/>
        <v>221.38999999999942</v>
      </c>
      <c r="O64" t="s">
        <v>38</v>
      </c>
      <c r="P64" t="s">
        <v>31</v>
      </c>
      <c r="Q64" t="s">
        <v>39</v>
      </c>
    </row>
    <row r="65" spans="1:17" x14ac:dyDescent="0.3">
      <c r="A65" t="s">
        <v>137</v>
      </c>
      <c r="B65" s="1">
        <v>45373</v>
      </c>
      <c r="C65" t="s">
        <v>18</v>
      </c>
      <c r="D65" t="s">
        <v>41</v>
      </c>
      <c r="E65" t="s">
        <v>129</v>
      </c>
      <c r="F65" t="s">
        <v>21</v>
      </c>
      <c r="G65" t="s">
        <v>82</v>
      </c>
      <c r="H65">
        <v>3500</v>
      </c>
      <c r="I65">
        <v>14</v>
      </c>
      <c r="J65">
        <v>5</v>
      </c>
      <c r="K65">
        <v>15</v>
      </c>
      <c r="L65">
        <v>46550</v>
      </c>
      <c r="M65">
        <v>48646.79</v>
      </c>
      <c r="N65">
        <f t="shared" si="1"/>
        <v>-2096.7900000000009</v>
      </c>
      <c r="O65" t="s">
        <v>38</v>
      </c>
      <c r="P65" t="s">
        <v>24</v>
      </c>
      <c r="Q65" t="s">
        <v>39</v>
      </c>
    </row>
    <row r="66" spans="1:17" x14ac:dyDescent="0.3">
      <c r="A66" t="s">
        <v>138</v>
      </c>
      <c r="B66" s="1">
        <v>45366</v>
      </c>
      <c r="C66" t="s">
        <v>34</v>
      </c>
      <c r="D66" t="s">
        <v>35</v>
      </c>
      <c r="E66" t="s">
        <v>63</v>
      </c>
      <c r="F66" t="s">
        <v>64</v>
      </c>
      <c r="G66" t="s">
        <v>65</v>
      </c>
      <c r="H66">
        <v>4000</v>
      </c>
      <c r="I66">
        <v>14</v>
      </c>
      <c r="J66">
        <v>10</v>
      </c>
      <c r="K66">
        <v>0</v>
      </c>
      <c r="L66">
        <v>50400</v>
      </c>
      <c r="M66">
        <v>46016.63</v>
      </c>
      <c r="N66">
        <f t="shared" si="1"/>
        <v>4383.3700000000026</v>
      </c>
      <c r="O66" t="s">
        <v>23</v>
      </c>
      <c r="P66" t="s">
        <v>31</v>
      </c>
      <c r="Q66" t="s">
        <v>32</v>
      </c>
    </row>
    <row r="67" spans="1:17" x14ac:dyDescent="0.3">
      <c r="A67" t="s">
        <v>139</v>
      </c>
      <c r="B67" s="1">
        <v>45372</v>
      </c>
      <c r="C67" t="s">
        <v>34</v>
      </c>
      <c r="D67" t="s">
        <v>41</v>
      </c>
      <c r="E67" t="s">
        <v>140</v>
      </c>
      <c r="F67" t="s">
        <v>141</v>
      </c>
      <c r="G67" t="s">
        <v>142</v>
      </c>
      <c r="H67">
        <v>12000</v>
      </c>
      <c r="I67">
        <v>2</v>
      </c>
      <c r="J67">
        <v>10</v>
      </c>
      <c r="K67">
        <v>5</v>
      </c>
      <c r="L67">
        <v>21600</v>
      </c>
      <c r="M67">
        <v>19101.62</v>
      </c>
      <c r="N67">
        <f t="shared" ref="N67:N130" si="2">L67-M67</f>
        <v>2498.380000000001</v>
      </c>
      <c r="O67" t="s">
        <v>23</v>
      </c>
      <c r="P67" t="s">
        <v>31</v>
      </c>
      <c r="Q67" t="s">
        <v>32</v>
      </c>
    </row>
    <row r="68" spans="1:17" x14ac:dyDescent="0.3">
      <c r="A68" t="s">
        <v>143</v>
      </c>
      <c r="B68" s="1">
        <v>45345</v>
      </c>
      <c r="C68" t="s">
        <v>49</v>
      </c>
      <c r="D68" t="s">
        <v>92</v>
      </c>
      <c r="E68" t="s">
        <v>42</v>
      </c>
      <c r="F68" t="s">
        <v>29</v>
      </c>
      <c r="G68" t="s">
        <v>43</v>
      </c>
      <c r="H68">
        <v>500</v>
      </c>
      <c r="I68">
        <v>10</v>
      </c>
      <c r="J68">
        <v>15</v>
      </c>
      <c r="K68">
        <v>0</v>
      </c>
      <c r="L68">
        <v>4250</v>
      </c>
      <c r="M68">
        <v>4186.03</v>
      </c>
      <c r="N68">
        <f t="shared" si="2"/>
        <v>63.970000000000255</v>
      </c>
      <c r="O68" t="s">
        <v>23</v>
      </c>
      <c r="P68" t="s">
        <v>31</v>
      </c>
      <c r="Q68" t="s">
        <v>32</v>
      </c>
    </row>
    <row r="69" spans="1:17" x14ac:dyDescent="0.3">
      <c r="A69" t="s">
        <v>144</v>
      </c>
      <c r="B69" s="1">
        <v>45472</v>
      </c>
      <c r="C69" t="s">
        <v>49</v>
      </c>
      <c r="D69" t="s">
        <v>92</v>
      </c>
      <c r="E69" t="s">
        <v>28</v>
      </c>
      <c r="F69" t="s">
        <v>29</v>
      </c>
      <c r="G69" t="s">
        <v>30</v>
      </c>
      <c r="H69">
        <v>1800</v>
      </c>
      <c r="I69">
        <v>2</v>
      </c>
      <c r="J69">
        <v>5</v>
      </c>
      <c r="K69">
        <v>25</v>
      </c>
      <c r="L69">
        <v>3420</v>
      </c>
      <c r="M69">
        <v>3014.71</v>
      </c>
      <c r="N69">
        <f t="shared" si="2"/>
        <v>405.28999999999996</v>
      </c>
      <c r="O69" t="s">
        <v>38</v>
      </c>
      <c r="P69" t="s">
        <v>31</v>
      </c>
      <c r="Q69" t="s">
        <v>39</v>
      </c>
    </row>
    <row r="70" spans="1:17" x14ac:dyDescent="0.3">
      <c r="A70" t="s">
        <v>145</v>
      </c>
      <c r="B70" s="1">
        <v>45328</v>
      </c>
      <c r="C70" t="s">
        <v>49</v>
      </c>
      <c r="D70" t="s">
        <v>35</v>
      </c>
      <c r="E70" t="s">
        <v>71</v>
      </c>
      <c r="F70" t="s">
        <v>21</v>
      </c>
      <c r="G70" t="s">
        <v>72</v>
      </c>
      <c r="H70">
        <v>60000</v>
      </c>
      <c r="I70">
        <v>4</v>
      </c>
      <c r="J70">
        <v>10</v>
      </c>
      <c r="K70">
        <v>25</v>
      </c>
      <c r="L70">
        <v>216000</v>
      </c>
      <c r="M70">
        <v>205763.05</v>
      </c>
      <c r="N70">
        <f t="shared" si="2"/>
        <v>10236.950000000012</v>
      </c>
      <c r="O70" t="s">
        <v>38</v>
      </c>
      <c r="P70" t="s">
        <v>31</v>
      </c>
      <c r="Q70" t="s">
        <v>39</v>
      </c>
    </row>
    <row r="71" spans="1:17" x14ac:dyDescent="0.3">
      <c r="A71" t="s">
        <v>146</v>
      </c>
      <c r="B71" s="1">
        <v>45321</v>
      </c>
      <c r="C71" t="s">
        <v>34</v>
      </c>
      <c r="D71" t="s">
        <v>41</v>
      </c>
      <c r="E71" t="s">
        <v>75</v>
      </c>
      <c r="F71" t="s">
        <v>76</v>
      </c>
      <c r="G71" t="s">
        <v>77</v>
      </c>
      <c r="H71">
        <v>8000</v>
      </c>
      <c r="I71">
        <v>5</v>
      </c>
      <c r="J71">
        <v>5</v>
      </c>
      <c r="K71">
        <v>20</v>
      </c>
      <c r="L71">
        <v>38000</v>
      </c>
      <c r="M71">
        <v>39596.58</v>
      </c>
      <c r="N71">
        <f t="shared" si="2"/>
        <v>-1596.5800000000017</v>
      </c>
      <c r="O71" t="s">
        <v>38</v>
      </c>
      <c r="P71" t="s">
        <v>24</v>
      </c>
      <c r="Q71" t="s">
        <v>39</v>
      </c>
    </row>
    <row r="72" spans="1:17" x14ac:dyDescent="0.3">
      <c r="A72" t="s">
        <v>147</v>
      </c>
      <c r="B72" s="1">
        <v>45467</v>
      </c>
      <c r="C72" t="s">
        <v>34</v>
      </c>
      <c r="D72" t="s">
        <v>70</v>
      </c>
      <c r="E72" t="s">
        <v>67</v>
      </c>
      <c r="F72" t="s">
        <v>29</v>
      </c>
      <c r="G72" t="s">
        <v>68</v>
      </c>
      <c r="H72">
        <v>1200</v>
      </c>
      <c r="I72">
        <v>13</v>
      </c>
      <c r="J72">
        <v>10</v>
      </c>
      <c r="K72">
        <v>0</v>
      </c>
      <c r="L72">
        <v>14040</v>
      </c>
      <c r="M72">
        <v>13264.39</v>
      </c>
      <c r="N72">
        <f t="shared" si="2"/>
        <v>775.61000000000058</v>
      </c>
      <c r="O72" t="s">
        <v>23</v>
      </c>
      <c r="P72" t="s">
        <v>31</v>
      </c>
      <c r="Q72" t="s">
        <v>32</v>
      </c>
    </row>
    <row r="73" spans="1:17" x14ac:dyDescent="0.3">
      <c r="A73" t="s">
        <v>148</v>
      </c>
      <c r="B73" s="1">
        <v>45439</v>
      </c>
      <c r="C73" t="s">
        <v>34</v>
      </c>
      <c r="D73" t="s">
        <v>27</v>
      </c>
      <c r="E73" t="s">
        <v>50</v>
      </c>
      <c r="F73" t="s">
        <v>21</v>
      </c>
      <c r="G73" t="s">
        <v>51</v>
      </c>
      <c r="H73">
        <v>4500</v>
      </c>
      <c r="I73">
        <v>8</v>
      </c>
      <c r="J73">
        <v>15</v>
      </c>
      <c r="K73">
        <v>20</v>
      </c>
      <c r="L73">
        <v>30600</v>
      </c>
      <c r="M73">
        <v>31982.76</v>
      </c>
      <c r="N73">
        <f t="shared" si="2"/>
        <v>-1382.7599999999984</v>
      </c>
      <c r="O73" t="s">
        <v>38</v>
      </c>
      <c r="P73" t="s">
        <v>24</v>
      </c>
      <c r="Q73" t="s">
        <v>39</v>
      </c>
    </row>
    <row r="74" spans="1:17" x14ac:dyDescent="0.3">
      <c r="A74" t="s">
        <v>149</v>
      </c>
      <c r="B74" s="1">
        <v>45455</v>
      </c>
      <c r="C74" t="s">
        <v>49</v>
      </c>
      <c r="D74" t="s">
        <v>92</v>
      </c>
      <c r="E74" t="s">
        <v>54</v>
      </c>
      <c r="F74" t="s">
        <v>46</v>
      </c>
      <c r="G74" t="s">
        <v>55</v>
      </c>
      <c r="H74">
        <v>4500</v>
      </c>
      <c r="I74">
        <v>15</v>
      </c>
      <c r="J74">
        <v>5</v>
      </c>
      <c r="K74">
        <v>10</v>
      </c>
      <c r="L74">
        <v>64125</v>
      </c>
      <c r="M74">
        <v>64769.79</v>
      </c>
      <c r="N74">
        <f t="shared" si="2"/>
        <v>-644.79000000000087</v>
      </c>
      <c r="O74" t="s">
        <v>38</v>
      </c>
      <c r="P74" t="s">
        <v>24</v>
      </c>
      <c r="Q74" t="s">
        <v>39</v>
      </c>
    </row>
    <row r="75" spans="1:17" x14ac:dyDescent="0.3">
      <c r="A75" t="s">
        <v>150</v>
      </c>
      <c r="B75" s="1">
        <v>45323</v>
      </c>
      <c r="C75" t="s">
        <v>18</v>
      </c>
      <c r="D75" t="s">
        <v>70</v>
      </c>
      <c r="E75" t="s">
        <v>151</v>
      </c>
      <c r="F75" t="s">
        <v>141</v>
      </c>
      <c r="G75" t="s">
        <v>142</v>
      </c>
      <c r="H75">
        <v>3500</v>
      </c>
      <c r="I75">
        <v>4</v>
      </c>
      <c r="J75">
        <v>5</v>
      </c>
      <c r="K75">
        <v>25</v>
      </c>
      <c r="L75">
        <v>13300</v>
      </c>
      <c r="M75">
        <v>12749.84</v>
      </c>
      <c r="N75">
        <f t="shared" si="2"/>
        <v>550.15999999999985</v>
      </c>
      <c r="O75" t="s">
        <v>38</v>
      </c>
      <c r="P75" t="s">
        <v>31</v>
      </c>
      <c r="Q75" t="s">
        <v>39</v>
      </c>
    </row>
    <row r="76" spans="1:17" x14ac:dyDescent="0.3">
      <c r="A76" t="s">
        <v>152</v>
      </c>
      <c r="B76" s="1">
        <v>45371</v>
      </c>
      <c r="C76" t="s">
        <v>53</v>
      </c>
      <c r="D76" t="s">
        <v>27</v>
      </c>
      <c r="E76" t="s">
        <v>50</v>
      </c>
      <c r="F76" t="s">
        <v>21</v>
      </c>
      <c r="G76" t="s">
        <v>51</v>
      </c>
      <c r="H76">
        <v>4500</v>
      </c>
      <c r="I76">
        <v>2</v>
      </c>
      <c r="J76">
        <v>5</v>
      </c>
      <c r="K76">
        <v>25</v>
      </c>
      <c r="L76">
        <v>8550</v>
      </c>
      <c r="M76">
        <v>7776.47</v>
      </c>
      <c r="N76">
        <f t="shared" si="2"/>
        <v>773.52999999999975</v>
      </c>
      <c r="O76" t="s">
        <v>38</v>
      </c>
      <c r="P76" t="s">
        <v>31</v>
      </c>
      <c r="Q76" t="s">
        <v>39</v>
      </c>
    </row>
    <row r="77" spans="1:17" x14ac:dyDescent="0.3">
      <c r="A77" t="s">
        <v>153</v>
      </c>
      <c r="B77" s="1">
        <v>45457</v>
      </c>
      <c r="C77" t="s">
        <v>49</v>
      </c>
      <c r="D77" t="s">
        <v>41</v>
      </c>
      <c r="E77" t="s">
        <v>102</v>
      </c>
      <c r="F77" t="s">
        <v>29</v>
      </c>
      <c r="G77" t="s">
        <v>43</v>
      </c>
      <c r="H77">
        <v>1500</v>
      </c>
      <c r="I77">
        <v>2</v>
      </c>
      <c r="J77">
        <v>15</v>
      </c>
      <c r="K77">
        <v>10</v>
      </c>
      <c r="L77">
        <v>2550</v>
      </c>
      <c r="M77">
        <v>2356.13</v>
      </c>
      <c r="N77">
        <f t="shared" si="2"/>
        <v>193.86999999999989</v>
      </c>
      <c r="O77" t="s">
        <v>23</v>
      </c>
      <c r="P77" t="s">
        <v>31</v>
      </c>
      <c r="Q77" t="s">
        <v>32</v>
      </c>
    </row>
    <row r="78" spans="1:17" x14ac:dyDescent="0.3">
      <c r="A78" t="s">
        <v>154</v>
      </c>
      <c r="B78" s="1">
        <v>45449</v>
      </c>
      <c r="C78" t="s">
        <v>18</v>
      </c>
      <c r="D78" t="s">
        <v>70</v>
      </c>
      <c r="E78" t="s">
        <v>155</v>
      </c>
      <c r="F78" t="s">
        <v>21</v>
      </c>
      <c r="G78" t="s">
        <v>72</v>
      </c>
      <c r="H78">
        <v>35000</v>
      </c>
      <c r="I78">
        <v>14</v>
      </c>
      <c r="J78">
        <v>5</v>
      </c>
      <c r="K78">
        <v>25</v>
      </c>
      <c r="L78">
        <v>465500</v>
      </c>
      <c r="M78">
        <v>441818.33</v>
      </c>
      <c r="N78">
        <f t="shared" si="2"/>
        <v>23681.669999999984</v>
      </c>
      <c r="O78" t="s">
        <v>38</v>
      </c>
      <c r="P78" t="s">
        <v>31</v>
      </c>
      <c r="Q78" t="s">
        <v>39</v>
      </c>
    </row>
    <row r="79" spans="1:17" x14ac:dyDescent="0.3">
      <c r="A79" t="s">
        <v>156</v>
      </c>
      <c r="B79" s="1">
        <v>45382</v>
      </c>
      <c r="C79" t="s">
        <v>18</v>
      </c>
      <c r="D79" t="s">
        <v>92</v>
      </c>
      <c r="E79" t="s">
        <v>50</v>
      </c>
      <c r="F79" t="s">
        <v>21</v>
      </c>
      <c r="G79" t="s">
        <v>51</v>
      </c>
      <c r="H79">
        <v>4500</v>
      </c>
      <c r="I79">
        <v>14</v>
      </c>
      <c r="J79">
        <v>15</v>
      </c>
      <c r="K79">
        <v>10</v>
      </c>
      <c r="L79">
        <v>53550</v>
      </c>
      <c r="M79">
        <v>51153.36</v>
      </c>
      <c r="N79">
        <f t="shared" si="2"/>
        <v>2396.6399999999994</v>
      </c>
      <c r="O79" t="s">
        <v>23</v>
      </c>
      <c r="P79" t="s">
        <v>31</v>
      </c>
      <c r="Q79" t="s">
        <v>32</v>
      </c>
    </row>
    <row r="80" spans="1:17" x14ac:dyDescent="0.3">
      <c r="A80" t="s">
        <v>157</v>
      </c>
      <c r="B80" s="1">
        <v>45404</v>
      </c>
      <c r="C80" t="s">
        <v>18</v>
      </c>
      <c r="D80" t="s">
        <v>41</v>
      </c>
      <c r="E80" t="s">
        <v>45</v>
      </c>
      <c r="F80" t="s">
        <v>46</v>
      </c>
      <c r="G80" t="s">
        <v>47</v>
      </c>
      <c r="H80">
        <v>15000</v>
      </c>
      <c r="I80">
        <v>12</v>
      </c>
      <c r="J80">
        <v>15</v>
      </c>
      <c r="K80">
        <v>20</v>
      </c>
      <c r="L80">
        <v>153000</v>
      </c>
      <c r="M80">
        <v>143451.78</v>
      </c>
      <c r="N80">
        <f t="shared" si="2"/>
        <v>9548.2200000000012</v>
      </c>
      <c r="O80" t="s">
        <v>38</v>
      </c>
      <c r="P80" t="s">
        <v>31</v>
      </c>
      <c r="Q80" t="s">
        <v>39</v>
      </c>
    </row>
    <row r="81" spans="1:17" x14ac:dyDescent="0.3">
      <c r="A81" t="s">
        <v>158</v>
      </c>
      <c r="B81" s="1">
        <v>45446</v>
      </c>
      <c r="C81" t="s">
        <v>34</v>
      </c>
      <c r="D81" t="s">
        <v>35</v>
      </c>
      <c r="E81" t="s">
        <v>90</v>
      </c>
      <c r="F81" t="s">
        <v>29</v>
      </c>
      <c r="G81" t="s">
        <v>37</v>
      </c>
      <c r="H81">
        <v>6500</v>
      </c>
      <c r="I81">
        <v>13</v>
      </c>
      <c r="J81">
        <v>10</v>
      </c>
      <c r="K81">
        <v>0</v>
      </c>
      <c r="L81">
        <v>76050</v>
      </c>
      <c r="M81">
        <v>76136.23</v>
      </c>
      <c r="N81">
        <f t="shared" si="2"/>
        <v>-86.229999999995925</v>
      </c>
      <c r="O81" t="s">
        <v>23</v>
      </c>
      <c r="P81" t="s">
        <v>24</v>
      </c>
      <c r="Q81" t="s">
        <v>25</v>
      </c>
    </row>
    <row r="82" spans="1:17" x14ac:dyDescent="0.3">
      <c r="A82" t="s">
        <v>159</v>
      </c>
      <c r="B82" s="1">
        <v>45451</v>
      </c>
      <c r="C82" t="s">
        <v>34</v>
      </c>
      <c r="D82" t="s">
        <v>35</v>
      </c>
      <c r="E82" t="s">
        <v>71</v>
      </c>
      <c r="F82" t="s">
        <v>21</v>
      </c>
      <c r="G82" t="s">
        <v>72</v>
      </c>
      <c r="H82">
        <v>60000</v>
      </c>
      <c r="I82">
        <v>11</v>
      </c>
      <c r="J82">
        <v>5</v>
      </c>
      <c r="K82">
        <v>5</v>
      </c>
      <c r="L82">
        <v>627000</v>
      </c>
      <c r="M82">
        <v>598629.42000000004</v>
      </c>
      <c r="N82">
        <f t="shared" si="2"/>
        <v>28370.579999999958</v>
      </c>
      <c r="O82" t="s">
        <v>23</v>
      </c>
      <c r="P82" t="s">
        <v>31</v>
      </c>
      <c r="Q82" t="s">
        <v>32</v>
      </c>
    </row>
    <row r="83" spans="1:17" x14ac:dyDescent="0.3">
      <c r="A83" t="s">
        <v>160</v>
      </c>
      <c r="B83" s="1">
        <v>45309</v>
      </c>
      <c r="C83" t="s">
        <v>53</v>
      </c>
      <c r="D83" t="s">
        <v>92</v>
      </c>
      <c r="E83" t="s">
        <v>50</v>
      </c>
      <c r="F83" t="s">
        <v>21</v>
      </c>
      <c r="G83" t="s">
        <v>51</v>
      </c>
      <c r="H83">
        <v>4500</v>
      </c>
      <c r="I83">
        <v>11</v>
      </c>
      <c r="J83">
        <v>10</v>
      </c>
      <c r="K83">
        <v>25</v>
      </c>
      <c r="L83">
        <v>44550</v>
      </c>
      <c r="M83">
        <v>44190.13</v>
      </c>
      <c r="N83">
        <f t="shared" si="2"/>
        <v>359.87000000000262</v>
      </c>
      <c r="O83" t="s">
        <v>38</v>
      </c>
      <c r="P83" t="s">
        <v>31</v>
      </c>
      <c r="Q83" t="s">
        <v>39</v>
      </c>
    </row>
    <row r="84" spans="1:17" x14ac:dyDescent="0.3">
      <c r="A84" t="s">
        <v>161</v>
      </c>
      <c r="B84" s="1">
        <v>45354</v>
      </c>
      <c r="C84" t="s">
        <v>18</v>
      </c>
      <c r="D84" t="s">
        <v>92</v>
      </c>
      <c r="E84" t="s">
        <v>45</v>
      </c>
      <c r="F84" t="s">
        <v>46</v>
      </c>
      <c r="G84" t="s">
        <v>47</v>
      </c>
      <c r="H84">
        <v>15000</v>
      </c>
      <c r="I84">
        <v>5</v>
      </c>
      <c r="J84">
        <v>10</v>
      </c>
      <c r="K84">
        <v>5</v>
      </c>
      <c r="L84">
        <v>67500</v>
      </c>
      <c r="M84">
        <v>61790.559999999998</v>
      </c>
      <c r="N84">
        <f t="shared" si="2"/>
        <v>5709.4400000000023</v>
      </c>
      <c r="O84" t="s">
        <v>23</v>
      </c>
      <c r="P84" t="s">
        <v>31</v>
      </c>
      <c r="Q84" t="s">
        <v>32</v>
      </c>
    </row>
    <row r="85" spans="1:17" x14ac:dyDescent="0.3">
      <c r="A85" t="s">
        <v>162</v>
      </c>
      <c r="B85" s="1">
        <v>45460</v>
      </c>
      <c r="C85" t="s">
        <v>18</v>
      </c>
      <c r="D85" t="s">
        <v>70</v>
      </c>
      <c r="E85" t="s">
        <v>151</v>
      </c>
      <c r="F85" t="s">
        <v>141</v>
      </c>
      <c r="G85" t="s">
        <v>142</v>
      </c>
      <c r="H85">
        <v>3500</v>
      </c>
      <c r="I85">
        <v>5</v>
      </c>
      <c r="J85">
        <v>5</v>
      </c>
      <c r="K85">
        <v>10</v>
      </c>
      <c r="L85">
        <v>16625</v>
      </c>
      <c r="M85">
        <v>16102.5</v>
      </c>
      <c r="N85">
        <f t="shared" si="2"/>
        <v>522.5</v>
      </c>
      <c r="O85" t="s">
        <v>38</v>
      </c>
      <c r="P85" t="s">
        <v>31</v>
      </c>
      <c r="Q85" t="s">
        <v>39</v>
      </c>
    </row>
    <row r="86" spans="1:17" x14ac:dyDescent="0.3">
      <c r="A86" t="s">
        <v>163</v>
      </c>
      <c r="B86" s="1">
        <v>45404</v>
      </c>
      <c r="C86" t="s">
        <v>34</v>
      </c>
      <c r="D86" t="s">
        <v>19</v>
      </c>
      <c r="E86" t="s">
        <v>28</v>
      </c>
      <c r="F86" t="s">
        <v>29</v>
      </c>
      <c r="G86" t="s">
        <v>30</v>
      </c>
      <c r="H86">
        <v>1800</v>
      </c>
      <c r="I86">
        <v>6</v>
      </c>
      <c r="J86">
        <v>5</v>
      </c>
      <c r="K86">
        <v>15</v>
      </c>
      <c r="L86">
        <v>10260</v>
      </c>
      <c r="M86">
        <v>10552.64</v>
      </c>
      <c r="N86">
        <f t="shared" si="2"/>
        <v>-292.63999999999942</v>
      </c>
      <c r="O86" t="s">
        <v>38</v>
      </c>
      <c r="P86" t="s">
        <v>24</v>
      </c>
      <c r="Q86" t="s">
        <v>39</v>
      </c>
    </row>
    <row r="87" spans="1:17" x14ac:dyDescent="0.3">
      <c r="A87" t="s">
        <v>164</v>
      </c>
      <c r="B87" s="1">
        <v>45429</v>
      </c>
      <c r="C87" t="s">
        <v>34</v>
      </c>
      <c r="D87" t="s">
        <v>27</v>
      </c>
      <c r="E87" t="s">
        <v>61</v>
      </c>
      <c r="F87" t="s">
        <v>29</v>
      </c>
      <c r="G87" t="s">
        <v>43</v>
      </c>
      <c r="H87">
        <v>2800</v>
      </c>
      <c r="I87">
        <v>2</v>
      </c>
      <c r="J87">
        <v>15</v>
      </c>
      <c r="K87">
        <v>15</v>
      </c>
      <c r="L87">
        <v>4760</v>
      </c>
      <c r="M87">
        <v>4858.9399999999996</v>
      </c>
      <c r="N87">
        <f t="shared" si="2"/>
        <v>-98.9399999999996</v>
      </c>
      <c r="O87" t="s">
        <v>23</v>
      </c>
      <c r="P87" t="s">
        <v>24</v>
      </c>
      <c r="Q87" t="s">
        <v>25</v>
      </c>
    </row>
    <row r="88" spans="1:17" x14ac:dyDescent="0.3">
      <c r="A88" t="s">
        <v>165</v>
      </c>
      <c r="B88" s="1">
        <v>45452</v>
      </c>
      <c r="C88" t="s">
        <v>53</v>
      </c>
      <c r="D88" t="s">
        <v>27</v>
      </c>
      <c r="E88" t="s">
        <v>45</v>
      </c>
      <c r="F88" t="s">
        <v>46</v>
      </c>
      <c r="G88" t="s">
        <v>47</v>
      </c>
      <c r="H88">
        <v>15000</v>
      </c>
      <c r="I88">
        <v>8</v>
      </c>
      <c r="J88">
        <v>15</v>
      </c>
      <c r="K88">
        <v>20</v>
      </c>
      <c r="L88">
        <v>102000</v>
      </c>
      <c r="M88">
        <v>105108.28</v>
      </c>
      <c r="N88">
        <f t="shared" si="2"/>
        <v>-3108.2799999999988</v>
      </c>
      <c r="O88" t="s">
        <v>38</v>
      </c>
      <c r="P88" t="s">
        <v>24</v>
      </c>
      <c r="Q88" t="s">
        <v>39</v>
      </c>
    </row>
    <row r="89" spans="1:17" x14ac:dyDescent="0.3">
      <c r="A89" t="s">
        <v>166</v>
      </c>
      <c r="B89" s="1">
        <v>45412</v>
      </c>
      <c r="C89" t="s">
        <v>49</v>
      </c>
      <c r="D89" t="s">
        <v>27</v>
      </c>
      <c r="E89" t="s">
        <v>167</v>
      </c>
      <c r="F89" t="s">
        <v>21</v>
      </c>
      <c r="G89" t="s">
        <v>82</v>
      </c>
      <c r="H89">
        <v>7000</v>
      </c>
      <c r="I89">
        <v>11</v>
      </c>
      <c r="J89">
        <v>10</v>
      </c>
      <c r="K89">
        <v>0</v>
      </c>
      <c r="L89">
        <v>69300</v>
      </c>
      <c r="M89">
        <v>72288.55</v>
      </c>
      <c r="N89">
        <f t="shared" si="2"/>
        <v>-2988.5500000000029</v>
      </c>
      <c r="O89" t="s">
        <v>23</v>
      </c>
      <c r="P89" t="s">
        <v>24</v>
      </c>
      <c r="Q89" t="s">
        <v>25</v>
      </c>
    </row>
    <row r="90" spans="1:17" x14ac:dyDescent="0.3">
      <c r="A90" t="s">
        <v>168</v>
      </c>
      <c r="B90" s="1">
        <v>45422</v>
      </c>
      <c r="C90" t="s">
        <v>18</v>
      </c>
      <c r="D90" t="s">
        <v>19</v>
      </c>
      <c r="E90" t="s">
        <v>63</v>
      </c>
      <c r="F90" t="s">
        <v>64</v>
      </c>
      <c r="G90" t="s">
        <v>65</v>
      </c>
      <c r="H90">
        <v>4000</v>
      </c>
      <c r="I90">
        <v>4</v>
      </c>
      <c r="J90">
        <v>5</v>
      </c>
      <c r="K90">
        <v>0</v>
      </c>
      <c r="L90">
        <v>15200</v>
      </c>
      <c r="M90">
        <v>14788.75</v>
      </c>
      <c r="N90">
        <f t="shared" si="2"/>
        <v>411.25</v>
      </c>
      <c r="O90" t="s">
        <v>23</v>
      </c>
      <c r="P90" t="s">
        <v>31</v>
      </c>
      <c r="Q90" t="s">
        <v>32</v>
      </c>
    </row>
    <row r="91" spans="1:17" x14ac:dyDescent="0.3">
      <c r="A91" t="s">
        <v>169</v>
      </c>
      <c r="B91" s="1">
        <v>45331</v>
      </c>
      <c r="C91" t="s">
        <v>53</v>
      </c>
      <c r="D91" t="s">
        <v>27</v>
      </c>
      <c r="E91" t="s">
        <v>129</v>
      </c>
      <c r="F91" t="s">
        <v>21</v>
      </c>
      <c r="G91" t="s">
        <v>82</v>
      </c>
      <c r="H91">
        <v>3500</v>
      </c>
      <c r="I91">
        <v>3</v>
      </c>
      <c r="J91">
        <v>10</v>
      </c>
      <c r="K91">
        <v>0</v>
      </c>
      <c r="L91">
        <v>9450</v>
      </c>
      <c r="M91">
        <v>9125.01</v>
      </c>
      <c r="N91">
        <f t="shared" si="2"/>
        <v>324.98999999999978</v>
      </c>
      <c r="O91" t="s">
        <v>23</v>
      </c>
      <c r="P91" t="s">
        <v>31</v>
      </c>
      <c r="Q91" t="s">
        <v>32</v>
      </c>
    </row>
    <row r="92" spans="1:17" x14ac:dyDescent="0.3">
      <c r="A92" t="s">
        <v>170</v>
      </c>
      <c r="B92" s="1">
        <v>45320</v>
      </c>
      <c r="C92" t="s">
        <v>34</v>
      </c>
      <c r="D92" t="s">
        <v>41</v>
      </c>
      <c r="E92" t="s">
        <v>63</v>
      </c>
      <c r="F92" t="s">
        <v>64</v>
      </c>
      <c r="G92" t="s">
        <v>65</v>
      </c>
      <c r="H92">
        <v>4000</v>
      </c>
      <c r="I92">
        <v>2</v>
      </c>
      <c r="J92">
        <v>5</v>
      </c>
      <c r="K92">
        <v>5</v>
      </c>
      <c r="L92">
        <v>7600</v>
      </c>
      <c r="M92">
        <v>7206.44</v>
      </c>
      <c r="N92">
        <f t="shared" si="2"/>
        <v>393.5600000000004</v>
      </c>
      <c r="O92" t="s">
        <v>23</v>
      </c>
      <c r="P92" t="s">
        <v>31</v>
      </c>
      <c r="Q92" t="s">
        <v>32</v>
      </c>
    </row>
    <row r="93" spans="1:17" x14ac:dyDescent="0.3">
      <c r="A93" t="s">
        <v>171</v>
      </c>
      <c r="B93" s="1">
        <v>45337</v>
      </c>
      <c r="C93" t="s">
        <v>53</v>
      </c>
      <c r="D93" t="s">
        <v>19</v>
      </c>
      <c r="E93" t="s">
        <v>81</v>
      </c>
      <c r="F93" t="s">
        <v>21</v>
      </c>
      <c r="G93" t="s">
        <v>82</v>
      </c>
      <c r="H93">
        <v>8000</v>
      </c>
      <c r="I93">
        <v>8</v>
      </c>
      <c r="J93">
        <v>15</v>
      </c>
      <c r="K93">
        <v>0</v>
      </c>
      <c r="L93">
        <v>54400</v>
      </c>
      <c r="M93">
        <v>54672.12</v>
      </c>
      <c r="N93">
        <f t="shared" si="2"/>
        <v>-272.12000000000262</v>
      </c>
      <c r="O93" t="s">
        <v>23</v>
      </c>
      <c r="P93" t="s">
        <v>24</v>
      </c>
      <c r="Q93" t="s">
        <v>25</v>
      </c>
    </row>
    <row r="94" spans="1:17" x14ac:dyDescent="0.3">
      <c r="A94" t="s">
        <v>172</v>
      </c>
      <c r="B94" s="1">
        <v>45343</v>
      </c>
      <c r="C94" t="s">
        <v>34</v>
      </c>
      <c r="D94" t="s">
        <v>41</v>
      </c>
      <c r="E94" t="s">
        <v>129</v>
      </c>
      <c r="F94" t="s">
        <v>21</v>
      </c>
      <c r="G94" t="s">
        <v>82</v>
      </c>
      <c r="H94">
        <v>3500</v>
      </c>
      <c r="I94">
        <v>3</v>
      </c>
      <c r="J94">
        <v>5</v>
      </c>
      <c r="K94">
        <v>0</v>
      </c>
      <c r="L94">
        <v>9975</v>
      </c>
      <c r="M94">
        <v>10056.66</v>
      </c>
      <c r="N94">
        <f t="shared" si="2"/>
        <v>-81.659999999999854</v>
      </c>
      <c r="O94" t="s">
        <v>23</v>
      </c>
      <c r="P94" t="s">
        <v>24</v>
      </c>
      <c r="Q94" t="s">
        <v>25</v>
      </c>
    </row>
    <row r="95" spans="1:17" x14ac:dyDescent="0.3">
      <c r="A95" t="s">
        <v>173</v>
      </c>
      <c r="B95" s="1">
        <v>45405</v>
      </c>
      <c r="C95" t="s">
        <v>53</v>
      </c>
      <c r="D95" t="s">
        <v>92</v>
      </c>
      <c r="E95" t="s">
        <v>100</v>
      </c>
      <c r="F95" t="s">
        <v>46</v>
      </c>
      <c r="G95" t="s">
        <v>55</v>
      </c>
      <c r="H95">
        <v>2500</v>
      </c>
      <c r="I95">
        <v>12</v>
      </c>
      <c r="J95">
        <v>10</v>
      </c>
      <c r="K95">
        <v>0</v>
      </c>
      <c r="L95">
        <v>27000</v>
      </c>
      <c r="M95">
        <v>25732.78</v>
      </c>
      <c r="N95">
        <f t="shared" si="2"/>
        <v>1267.2200000000012</v>
      </c>
      <c r="O95" t="s">
        <v>23</v>
      </c>
      <c r="P95" t="s">
        <v>31</v>
      </c>
      <c r="Q95" t="s">
        <v>32</v>
      </c>
    </row>
    <row r="96" spans="1:17" x14ac:dyDescent="0.3">
      <c r="A96" t="s">
        <v>174</v>
      </c>
      <c r="B96" s="1">
        <v>45446</v>
      </c>
      <c r="C96" t="s">
        <v>49</v>
      </c>
      <c r="D96" t="s">
        <v>35</v>
      </c>
      <c r="E96" t="s">
        <v>151</v>
      </c>
      <c r="F96" t="s">
        <v>141</v>
      </c>
      <c r="G96" t="s">
        <v>142</v>
      </c>
      <c r="H96">
        <v>3500</v>
      </c>
      <c r="I96">
        <v>13</v>
      </c>
      <c r="J96">
        <v>15</v>
      </c>
      <c r="K96">
        <v>25</v>
      </c>
      <c r="L96">
        <v>38675</v>
      </c>
      <c r="M96">
        <v>39639.78</v>
      </c>
      <c r="N96">
        <f t="shared" si="2"/>
        <v>-964.77999999999884</v>
      </c>
      <c r="O96" t="s">
        <v>38</v>
      </c>
      <c r="P96" t="s">
        <v>24</v>
      </c>
      <c r="Q96" t="s">
        <v>39</v>
      </c>
    </row>
    <row r="97" spans="1:17" x14ac:dyDescent="0.3">
      <c r="A97" t="s">
        <v>175</v>
      </c>
      <c r="B97" s="1">
        <v>45359</v>
      </c>
      <c r="C97" t="s">
        <v>49</v>
      </c>
      <c r="D97" t="s">
        <v>70</v>
      </c>
      <c r="E97" t="s">
        <v>71</v>
      </c>
      <c r="F97" t="s">
        <v>21</v>
      </c>
      <c r="G97" t="s">
        <v>72</v>
      </c>
      <c r="H97">
        <v>60000</v>
      </c>
      <c r="I97">
        <v>12</v>
      </c>
      <c r="J97">
        <v>10</v>
      </c>
      <c r="K97">
        <v>10</v>
      </c>
      <c r="L97">
        <v>648000</v>
      </c>
      <c r="M97">
        <v>641778.84</v>
      </c>
      <c r="N97">
        <f t="shared" si="2"/>
        <v>6221.1600000000326</v>
      </c>
      <c r="O97" t="s">
        <v>23</v>
      </c>
      <c r="P97" t="s">
        <v>31</v>
      </c>
      <c r="Q97" t="s">
        <v>32</v>
      </c>
    </row>
    <row r="98" spans="1:17" x14ac:dyDescent="0.3">
      <c r="A98" t="s">
        <v>176</v>
      </c>
      <c r="B98" s="1">
        <v>45410</v>
      </c>
      <c r="C98" t="s">
        <v>53</v>
      </c>
      <c r="D98" t="s">
        <v>41</v>
      </c>
      <c r="E98" t="s">
        <v>100</v>
      </c>
      <c r="F98" t="s">
        <v>46</v>
      </c>
      <c r="G98" t="s">
        <v>55</v>
      </c>
      <c r="H98">
        <v>2500</v>
      </c>
      <c r="I98">
        <v>11</v>
      </c>
      <c r="J98">
        <v>10</v>
      </c>
      <c r="K98">
        <v>25</v>
      </c>
      <c r="L98">
        <v>24750</v>
      </c>
      <c r="M98">
        <v>24351.09</v>
      </c>
      <c r="N98">
        <f t="shared" si="2"/>
        <v>398.90999999999985</v>
      </c>
      <c r="O98" t="s">
        <v>38</v>
      </c>
      <c r="P98" t="s">
        <v>31</v>
      </c>
      <c r="Q98" t="s">
        <v>39</v>
      </c>
    </row>
    <row r="99" spans="1:17" x14ac:dyDescent="0.3">
      <c r="A99" t="s">
        <v>177</v>
      </c>
      <c r="B99" s="1">
        <v>45430</v>
      </c>
      <c r="C99" t="s">
        <v>34</v>
      </c>
      <c r="D99" t="s">
        <v>35</v>
      </c>
      <c r="E99" t="s">
        <v>75</v>
      </c>
      <c r="F99" t="s">
        <v>76</v>
      </c>
      <c r="G99" t="s">
        <v>77</v>
      </c>
      <c r="H99">
        <v>8000</v>
      </c>
      <c r="I99">
        <v>12</v>
      </c>
      <c r="J99">
        <v>5</v>
      </c>
      <c r="K99">
        <v>25</v>
      </c>
      <c r="L99">
        <v>91200</v>
      </c>
      <c r="M99">
        <v>78674.09</v>
      </c>
      <c r="N99">
        <f t="shared" si="2"/>
        <v>12525.910000000003</v>
      </c>
      <c r="O99" t="s">
        <v>38</v>
      </c>
      <c r="P99" t="s">
        <v>31</v>
      </c>
      <c r="Q99" t="s">
        <v>39</v>
      </c>
    </row>
    <row r="100" spans="1:17" x14ac:dyDescent="0.3">
      <c r="A100" t="s">
        <v>178</v>
      </c>
      <c r="B100" s="1">
        <v>45395</v>
      </c>
      <c r="C100" t="s">
        <v>53</v>
      </c>
      <c r="D100" t="s">
        <v>70</v>
      </c>
      <c r="E100" t="s">
        <v>140</v>
      </c>
      <c r="F100" t="s">
        <v>141</v>
      </c>
      <c r="G100" t="s">
        <v>142</v>
      </c>
      <c r="H100">
        <v>12000</v>
      </c>
      <c r="I100">
        <v>4</v>
      </c>
      <c r="J100">
        <v>15</v>
      </c>
      <c r="K100">
        <v>0</v>
      </c>
      <c r="L100">
        <v>40800</v>
      </c>
      <c r="M100">
        <v>42448.39</v>
      </c>
      <c r="N100">
        <f t="shared" si="2"/>
        <v>-1648.3899999999994</v>
      </c>
      <c r="O100" t="s">
        <v>23</v>
      </c>
      <c r="P100" t="s">
        <v>24</v>
      </c>
      <c r="Q100" t="s">
        <v>25</v>
      </c>
    </row>
    <row r="101" spans="1:17" x14ac:dyDescent="0.3">
      <c r="A101" t="s">
        <v>179</v>
      </c>
      <c r="B101" s="1">
        <v>45404</v>
      </c>
      <c r="C101" t="s">
        <v>18</v>
      </c>
      <c r="D101" t="s">
        <v>19</v>
      </c>
      <c r="E101" t="s">
        <v>42</v>
      </c>
      <c r="F101" t="s">
        <v>29</v>
      </c>
      <c r="G101" t="s">
        <v>43</v>
      </c>
      <c r="H101">
        <v>500</v>
      </c>
      <c r="I101">
        <v>8</v>
      </c>
      <c r="J101">
        <v>10</v>
      </c>
      <c r="K101">
        <v>5</v>
      </c>
      <c r="L101">
        <v>3600</v>
      </c>
      <c r="M101">
        <v>3434.41</v>
      </c>
      <c r="N101">
        <f t="shared" si="2"/>
        <v>165.59000000000015</v>
      </c>
      <c r="O101" t="s">
        <v>23</v>
      </c>
      <c r="P101" t="s">
        <v>31</v>
      </c>
      <c r="Q101" t="s">
        <v>32</v>
      </c>
    </row>
    <row r="102" spans="1:17" x14ac:dyDescent="0.3">
      <c r="A102" t="s">
        <v>180</v>
      </c>
      <c r="B102" s="1">
        <v>45457</v>
      </c>
      <c r="C102" t="s">
        <v>53</v>
      </c>
      <c r="D102" t="s">
        <v>41</v>
      </c>
      <c r="E102" t="s">
        <v>167</v>
      </c>
      <c r="F102" t="s">
        <v>21</v>
      </c>
      <c r="G102" t="s">
        <v>82</v>
      </c>
      <c r="H102">
        <v>7000</v>
      </c>
      <c r="I102">
        <v>3</v>
      </c>
      <c r="J102">
        <v>10</v>
      </c>
      <c r="K102">
        <v>5</v>
      </c>
      <c r="L102">
        <v>18900</v>
      </c>
      <c r="M102">
        <v>19252.32</v>
      </c>
      <c r="N102">
        <f t="shared" si="2"/>
        <v>-352.31999999999971</v>
      </c>
      <c r="O102" t="s">
        <v>23</v>
      </c>
      <c r="P102" t="s">
        <v>24</v>
      </c>
      <c r="Q102" t="s">
        <v>25</v>
      </c>
    </row>
    <row r="103" spans="1:17" x14ac:dyDescent="0.3">
      <c r="A103" t="s">
        <v>181</v>
      </c>
      <c r="B103" s="1">
        <v>45376</v>
      </c>
      <c r="C103" t="s">
        <v>53</v>
      </c>
      <c r="D103" t="s">
        <v>19</v>
      </c>
      <c r="E103" t="s">
        <v>140</v>
      </c>
      <c r="F103" t="s">
        <v>141</v>
      </c>
      <c r="G103" t="s">
        <v>142</v>
      </c>
      <c r="H103">
        <v>12000</v>
      </c>
      <c r="I103">
        <v>5</v>
      </c>
      <c r="J103">
        <v>5</v>
      </c>
      <c r="K103">
        <v>10</v>
      </c>
      <c r="L103">
        <v>57000</v>
      </c>
      <c r="M103">
        <v>55353.68</v>
      </c>
      <c r="N103">
        <f t="shared" si="2"/>
        <v>1646.3199999999997</v>
      </c>
      <c r="O103" t="s">
        <v>38</v>
      </c>
      <c r="P103" t="s">
        <v>31</v>
      </c>
      <c r="Q103" t="s">
        <v>39</v>
      </c>
    </row>
    <row r="104" spans="1:17" x14ac:dyDescent="0.3">
      <c r="A104" t="s">
        <v>182</v>
      </c>
      <c r="B104" s="1">
        <v>45382</v>
      </c>
      <c r="C104" t="s">
        <v>18</v>
      </c>
      <c r="D104" t="s">
        <v>41</v>
      </c>
      <c r="E104" t="s">
        <v>155</v>
      </c>
      <c r="F104" t="s">
        <v>21</v>
      </c>
      <c r="G104" t="s">
        <v>72</v>
      </c>
      <c r="H104">
        <v>35000</v>
      </c>
      <c r="I104">
        <v>2</v>
      </c>
      <c r="J104">
        <v>5</v>
      </c>
      <c r="K104">
        <v>25</v>
      </c>
      <c r="L104">
        <v>66500</v>
      </c>
      <c r="M104">
        <v>62018.8</v>
      </c>
      <c r="N104">
        <f t="shared" si="2"/>
        <v>4481.1999999999971</v>
      </c>
      <c r="O104" t="s">
        <v>38</v>
      </c>
      <c r="P104" t="s">
        <v>31</v>
      </c>
      <c r="Q104" t="s">
        <v>39</v>
      </c>
    </row>
    <row r="105" spans="1:17" x14ac:dyDescent="0.3">
      <c r="A105" t="s">
        <v>183</v>
      </c>
      <c r="B105" s="1">
        <v>45393</v>
      </c>
      <c r="C105" t="s">
        <v>49</v>
      </c>
      <c r="D105" t="s">
        <v>27</v>
      </c>
      <c r="E105" t="s">
        <v>71</v>
      </c>
      <c r="F105" t="s">
        <v>21</v>
      </c>
      <c r="G105" t="s">
        <v>72</v>
      </c>
      <c r="H105">
        <v>60000</v>
      </c>
      <c r="I105">
        <v>14</v>
      </c>
      <c r="J105">
        <v>5</v>
      </c>
      <c r="K105">
        <v>20</v>
      </c>
      <c r="L105">
        <v>798000</v>
      </c>
      <c r="M105">
        <v>777836.63</v>
      </c>
      <c r="N105">
        <f t="shared" si="2"/>
        <v>20163.369999999995</v>
      </c>
      <c r="O105" t="s">
        <v>38</v>
      </c>
      <c r="P105" t="s">
        <v>31</v>
      </c>
      <c r="Q105" t="s">
        <v>39</v>
      </c>
    </row>
    <row r="106" spans="1:17" x14ac:dyDescent="0.3">
      <c r="A106" t="s">
        <v>184</v>
      </c>
      <c r="B106" s="1">
        <v>45309</v>
      </c>
      <c r="C106" t="s">
        <v>18</v>
      </c>
      <c r="D106" t="s">
        <v>41</v>
      </c>
      <c r="E106" t="s">
        <v>167</v>
      </c>
      <c r="F106" t="s">
        <v>21</v>
      </c>
      <c r="G106" t="s">
        <v>82</v>
      </c>
      <c r="H106">
        <v>7000</v>
      </c>
      <c r="I106">
        <v>11</v>
      </c>
      <c r="J106">
        <v>15</v>
      </c>
      <c r="K106">
        <v>10</v>
      </c>
      <c r="L106">
        <v>65450</v>
      </c>
      <c r="M106">
        <v>62341.74</v>
      </c>
      <c r="N106">
        <f t="shared" si="2"/>
        <v>3108.260000000002</v>
      </c>
      <c r="O106" t="s">
        <v>23</v>
      </c>
      <c r="P106" t="s">
        <v>31</v>
      </c>
      <c r="Q106" t="s">
        <v>32</v>
      </c>
    </row>
    <row r="107" spans="1:17" x14ac:dyDescent="0.3">
      <c r="A107" t="s">
        <v>185</v>
      </c>
      <c r="B107" s="1">
        <v>45470</v>
      </c>
      <c r="C107" t="s">
        <v>18</v>
      </c>
      <c r="D107" t="s">
        <v>19</v>
      </c>
      <c r="E107" t="s">
        <v>50</v>
      </c>
      <c r="F107" t="s">
        <v>21</v>
      </c>
      <c r="G107" t="s">
        <v>51</v>
      </c>
      <c r="H107">
        <v>4500</v>
      </c>
      <c r="I107">
        <v>5</v>
      </c>
      <c r="J107">
        <v>15</v>
      </c>
      <c r="K107">
        <v>0</v>
      </c>
      <c r="L107">
        <v>19125</v>
      </c>
      <c r="M107">
        <v>17199.89</v>
      </c>
      <c r="N107">
        <f t="shared" si="2"/>
        <v>1925.1100000000006</v>
      </c>
      <c r="O107" t="s">
        <v>23</v>
      </c>
      <c r="P107" t="s">
        <v>31</v>
      </c>
      <c r="Q107" t="s">
        <v>32</v>
      </c>
    </row>
    <row r="108" spans="1:17" x14ac:dyDescent="0.3">
      <c r="A108" t="s">
        <v>186</v>
      </c>
      <c r="B108" s="1">
        <v>45437</v>
      </c>
      <c r="C108" t="s">
        <v>34</v>
      </c>
      <c r="D108" t="s">
        <v>70</v>
      </c>
      <c r="E108" t="s">
        <v>107</v>
      </c>
      <c r="F108" t="s">
        <v>108</v>
      </c>
      <c r="G108" t="s">
        <v>109</v>
      </c>
      <c r="H108">
        <v>18000</v>
      </c>
      <c r="I108">
        <v>8</v>
      </c>
      <c r="J108">
        <v>5</v>
      </c>
      <c r="K108">
        <v>5</v>
      </c>
      <c r="L108">
        <v>136800</v>
      </c>
      <c r="M108">
        <v>138613.19</v>
      </c>
      <c r="N108">
        <f t="shared" si="2"/>
        <v>-1813.1900000000023</v>
      </c>
      <c r="O108" t="s">
        <v>23</v>
      </c>
      <c r="P108" t="s">
        <v>24</v>
      </c>
      <c r="Q108" t="s">
        <v>25</v>
      </c>
    </row>
    <row r="109" spans="1:17" x14ac:dyDescent="0.3">
      <c r="A109" t="s">
        <v>187</v>
      </c>
      <c r="B109" s="1">
        <v>45316</v>
      </c>
      <c r="C109" t="s">
        <v>49</v>
      </c>
      <c r="D109" t="s">
        <v>35</v>
      </c>
      <c r="E109" t="s">
        <v>63</v>
      </c>
      <c r="F109" t="s">
        <v>64</v>
      </c>
      <c r="G109" t="s">
        <v>65</v>
      </c>
      <c r="H109">
        <v>4000</v>
      </c>
      <c r="I109">
        <v>15</v>
      </c>
      <c r="J109">
        <v>15</v>
      </c>
      <c r="K109">
        <v>15</v>
      </c>
      <c r="L109">
        <v>51000</v>
      </c>
      <c r="M109">
        <v>44706.84</v>
      </c>
      <c r="N109">
        <f t="shared" si="2"/>
        <v>6293.1600000000035</v>
      </c>
      <c r="O109" t="s">
        <v>23</v>
      </c>
      <c r="P109" t="s">
        <v>31</v>
      </c>
      <c r="Q109" t="s">
        <v>32</v>
      </c>
    </row>
    <row r="110" spans="1:17" x14ac:dyDescent="0.3">
      <c r="A110" t="s">
        <v>188</v>
      </c>
      <c r="B110" s="1">
        <v>45322</v>
      </c>
      <c r="C110" t="s">
        <v>49</v>
      </c>
      <c r="D110" t="s">
        <v>70</v>
      </c>
      <c r="E110" t="s">
        <v>90</v>
      </c>
      <c r="F110" t="s">
        <v>29</v>
      </c>
      <c r="G110" t="s">
        <v>37</v>
      </c>
      <c r="H110">
        <v>6500</v>
      </c>
      <c r="I110">
        <v>15</v>
      </c>
      <c r="J110">
        <v>15</v>
      </c>
      <c r="K110">
        <v>0</v>
      </c>
      <c r="L110">
        <v>82875</v>
      </c>
      <c r="M110">
        <v>72875.38</v>
      </c>
      <c r="N110">
        <f t="shared" si="2"/>
        <v>9999.6199999999953</v>
      </c>
      <c r="O110" t="s">
        <v>23</v>
      </c>
      <c r="P110" t="s">
        <v>31</v>
      </c>
      <c r="Q110" t="s">
        <v>32</v>
      </c>
    </row>
    <row r="111" spans="1:17" x14ac:dyDescent="0.3">
      <c r="A111" t="s">
        <v>189</v>
      </c>
      <c r="B111" s="1">
        <v>45407</v>
      </c>
      <c r="C111" t="s">
        <v>34</v>
      </c>
      <c r="D111" t="s">
        <v>27</v>
      </c>
      <c r="E111" t="s">
        <v>75</v>
      </c>
      <c r="F111" t="s">
        <v>76</v>
      </c>
      <c r="G111" t="s">
        <v>77</v>
      </c>
      <c r="H111">
        <v>8000</v>
      </c>
      <c r="I111">
        <v>7</v>
      </c>
      <c r="J111">
        <v>5</v>
      </c>
      <c r="K111">
        <v>15</v>
      </c>
      <c r="L111">
        <v>53200</v>
      </c>
      <c r="M111">
        <v>53427.86</v>
      </c>
      <c r="N111">
        <f t="shared" si="2"/>
        <v>-227.86000000000058</v>
      </c>
      <c r="O111" t="s">
        <v>38</v>
      </c>
      <c r="P111" t="s">
        <v>24</v>
      </c>
      <c r="Q111" t="s">
        <v>39</v>
      </c>
    </row>
    <row r="112" spans="1:17" x14ac:dyDescent="0.3">
      <c r="A112" t="s">
        <v>190</v>
      </c>
      <c r="B112" s="1">
        <v>45440</v>
      </c>
      <c r="C112" t="s">
        <v>49</v>
      </c>
      <c r="D112" t="s">
        <v>70</v>
      </c>
      <c r="E112" t="s">
        <v>36</v>
      </c>
      <c r="F112" t="s">
        <v>29</v>
      </c>
      <c r="G112" t="s">
        <v>37</v>
      </c>
      <c r="H112">
        <v>1200</v>
      </c>
      <c r="I112">
        <v>4</v>
      </c>
      <c r="J112">
        <v>5</v>
      </c>
      <c r="K112">
        <v>25</v>
      </c>
      <c r="L112">
        <v>4560</v>
      </c>
      <c r="M112">
        <v>4487.54</v>
      </c>
      <c r="N112">
        <f t="shared" si="2"/>
        <v>72.460000000000036</v>
      </c>
      <c r="O112" t="s">
        <v>38</v>
      </c>
      <c r="P112" t="s">
        <v>31</v>
      </c>
      <c r="Q112" t="s">
        <v>39</v>
      </c>
    </row>
    <row r="113" spans="1:17" x14ac:dyDescent="0.3">
      <c r="A113" t="s">
        <v>191</v>
      </c>
      <c r="B113" s="1">
        <v>45416</v>
      </c>
      <c r="C113" t="s">
        <v>53</v>
      </c>
      <c r="D113" t="s">
        <v>41</v>
      </c>
      <c r="E113" t="s">
        <v>129</v>
      </c>
      <c r="F113" t="s">
        <v>21</v>
      </c>
      <c r="G113" t="s">
        <v>82</v>
      </c>
      <c r="H113">
        <v>3500</v>
      </c>
      <c r="I113">
        <v>10</v>
      </c>
      <c r="J113">
        <v>10</v>
      </c>
      <c r="K113">
        <v>0</v>
      </c>
      <c r="L113">
        <v>31500</v>
      </c>
      <c r="M113">
        <v>30583.97</v>
      </c>
      <c r="N113">
        <f t="shared" si="2"/>
        <v>916.02999999999884</v>
      </c>
      <c r="O113" t="s">
        <v>23</v>
      </c>
      <c r="P113" t="s">
        <v>31</v>
      </c>
      <c r="Q113" t="s">
        <v>32</v>
      </c>
    </row>
    <row r="114" spans="1:17" x14ac:dyDescent="0.3">
      <c r="A114" t="s">
        <v>192</v>
      </c>
      <c r="B114" s="1">
        <v>45415</v>
      </c>
      <c r="C114" t="s">
        <v>49</v>
      </c>
      <c r="D114" t="s">
        <v>27</v>
      </c>
      <c r="E114" t="s">
        <v>151</v>
      </c>
      <c r="F114" t="s">
        <v>141</v>
      </c>
      <c r="G114" t="s">
        <v>142</v>
      </c>
      <c r="H114">
        <v>3500</v>
      </c>
      <c r="I114">
        <v>4</v>
      </c>
      <c r="J114">
        <v>5</v>
      </c>
      <c r="K114">
        <v>5</v>
      </c>
      <c r="L114">
        <v>13300</v>
      </c>
      <c r="M114">
        <v>11321.55</v>
      </c>
      <c r="N114">
        <f t="shared" si="2"/>
        <v>1978.4500000000007</v>
      </c>
      <c r="O114" t="s">
        <v>23</v>
      </c>
      <c r="P114" t="s">
        <v>31</v>
      </c>
      <c r="Q114" t="s">
        <v>32</v>
      </c>
    </row>
    <row r="115" spans="1:17" x14ac:dyDescent="0.3">
      <c r="A115" t="s">
        <v>193</v>
      </c>
      <c r="B115" s="1">
        <v>45400</v>
      </c>
      <c r="C115" t="s">
        <v>49</v>
      </c>
      <c r="D115" t="s">
        <v>35</v>
      </c>
      <c r="E115" t="s">
        <v>129</v>
      </c>
      <c r="F115" t="s">
        <v>21</v>
      </c>
      <c r="G115" t="s">
        <v>82</v>
      </c>
      <c r="H115">
        <v>3500</v>
      </c>
      <c r="I115">
        <v>2</v>
      </c>
      <c r="J115">
        <v>15</v>
      </c>
      <c r="K115">
        <v>10</v>
      </c>
      <c r="L115">
        <v>5950</v>
      </c>
      <c r="M115">
        <v>5923.84</v>
      </c>
      <c r="N115">
        <f t="shared" si="2"/>
        <v>26.159999999999854</v>
      </c>
      <c r="O115" t="s">
        <v>23</v>
      </c>
      <c r="P115" t="s">
        <v>31</v>
      </c>
      <c r="Q115" t="s">
        <v>32</v>
      </c>
    </row>
    <row r="116" spans="1:17" x14ac:dyDescent="0.3">
      <c r="A116" t="s">
        <v>194</v>
      </c>
      <c r="B116" s="1">
        <v>45382</v>
      </c>
      <c r="C116" t="s">
        <v>49</v>
      </c>
      <c r="D116" t="s">
        <v>92</v>
      </c>
      <c r="E116" t="s">
        <v>155</v>
      </c>
      <c r="F116" t="s">
        <v>21</v>
      </c>
      <c r="G116" t="s">
        <v>72</v>
      </c>
      <c r="H116">
        <v>35000</v>
      </c>
      <c r="I116">
        <v>3</v>
      </c>
      <c r="J116">
        <v>15</v>
      </c>
      <c r="K116">
        <v>15</v>
      </c>
      <c r="L116">
        <v>89250</v>
      </c>
      <c r="M116">
        <v>82122.23</v>
      </c>
      <c r="N116">
        <f t="shared" si="2"/>
        <v>7127.7700000000041</v>
      </c>
      <c r="O116" t="s">
        <v>23</v>
      </c>
      <c r="P116" t="s">
        <v>31</v>
      </c>
      <c r="Q116" t="s">
        <v>32</v>
      </c>
    </row>
    <row r="117" spans="1:17" x14ac:dyDescent="0.3">
      <c r="A117" t="s">
        <v>195</v>
      </c>
      <c r="B117" s="1">
        <v>45374</v>
      </c>
      <c r="C117" t="s">
        <v>34</v>
      </c>
      <c r="D117" t="s">
        <v>35</v>
      </c>
      <c r="E117" t="s">
        <v>104</v>
      </c>
      <c r="F117" t="s">
        <v>29</v>
      </c>
      <c r="G117" t="s">
        <v>30</v>
      </c>
      <c r="H117">
        <v>1200</v>
      </c>
      <c r="I117">
        <v>3</v>
      </c>
      <c r="J117">
        <v>15</v>
      </c>
      <c r="K117">
        <v>10</v>
      </c>
      <c r="L117">
        <v>3060</v>
      </c>
      <c r="M117">
        <v>2684.28</v>
      </c>
      <c r="N117">
        <f t="shared" si="2"/>
        <v>375.7199999999998</v>
      </c>
      <c r="O117" t="s">
        <v>23</v>
      </c>
      <c r="P117" t="s">
        <v>31</v>
      </c>
      <c r="Q117" t="s">
        <v>32</v>
      </c>
    </row>
    <row r="118" spans="1:17" x14ac:dyDescent="0.3">
      <c r="A118" t="s">
        <v>196</v>
      </c>
      <c r="B118" s="1">
        <v>45471</v>
      </c>
      <c r="C118" t="s">
        <v>53</v>
      </c>
      <c r="D118" t="s">
        <v>92</v>
      </c>
      <c r="E118" t="s">
        <v>129</v>
      </c>
      <c r="F118" t="s">
        <v>21</v>
      </c>
      <c r="G118" t="s">
        <v>82</v>
      </c>
      <c r="H118">
        <v>3500</v>
      </c>
      <c r="I118">
        <v>15</v>
      </c>
      <c r="J118">
        <v>10</v>
      </c>
      <c r="K118">
        <v>25</v>
      </c>
      <c r="L118">
        <v>47250</v>
      </c>
      <c r="M118">
        <v>46542.400000000001</v>
      </c>
      <c r="N118">
        <f t="shared" si="2"/>
        <v>707.59999999999854</v>
      </c>
      <c r="O118" t="s">
        <v>38</v>
      </c>
      <c r="P118" t="s">
        <v>31</v>
      </c>
      <c r="Q118" t="s">
        <v>39</v>
      </c>
    </row>
    <row r="119" spans="1:17" x14ac:dyDescent="0.3">
      <c r="A119" t="s">
        <v>197</v>
      </c>
      <c r="B119" s="1">
        <v>45327</v>
      </c>
      <c r="C119" t="s">
        <v>53</v>
      </c>
      <c r="D119" t="s">
        <v>70</v>
      </c>
      <c r="E119" t="s">
        <v>107</v>
      </c>
      <c r="F119" t="s">
        <v>108</v>
      </c>
      <c r="G119" t="s">
        <v>109</v>
      </c>
      <c r="H119">
        <v>18000</v>
      </c>
      <c r="I119">
        <v>12</v>
      </c>
      <c r="J119">
        <v>5</v>
      </c>
      <c r="K119">
        <v>10</v>
      </c>
      <c r="L119">
        <v>205200</v>
      </c>
      <c r="M119">
        <v>188098.74</v>
      </c>
      <c r="N119">
        <f t="shared" si="2"/>
        <v>17101.260000000009</v>
      </c>
      <c r="O119" t="s">
        <v>38</v>
      </c>
      <c r="P119" t="s">
        <v>31</v>
      </c>
      <c r="Q119" t="s">
        <v>39</v>
      </c>
    </row>
    <row r="120" spans="1:17" x14ac:dyDescent="0.3">
      <c r="A120" t="s">
        <v>198</v>
      </c>
      <c r="B120" s="1">
        <v>45362</v>
      </c>
      <c r="C120" t="s">
        <v>34</v>
      </c>
      <c r="D120" t="s">
        <v>27</v>
      </c>
      <c r="E120" t="s">
        <v>67</v>
      </c>
      <c r="F120" t="s">
        <v>29</v>
      </c>
      <c r="G120" t="s">
        <v>68</v>
      </c>
      <c r="H120">
        <v>1200</v>
      </c>
      <c r="I120">
        <v>9</v>
      </c>
      <c r="J120">
        <v>15</v>
      </c>
      <c r="K120">
        <v>25</v>
      </c>
      <c r="L120">
        <v>9180</v>
      </c>
      <c r="M120">
        <v>8051.77</v>
      </c>
      <c r="N120">
        <f t="shared" si="2"/>
        <v>1128.2299999999996</v>
      </c>
      <c r="O120" t="s">
        <v>38</v>
      </c>
      <c r="P120" t="s">
        <v>31</v>
      </c>
      <c r="Q120" t="s">
        <v>39</v>
      </c>
    </row>
    <row r="121" spans="1:17" x14ac:dyDescent="0.3">
      <c r="A121" t="s">
        <v>199</v>
      </c>
      <c r="B121" s="1">
        <v>45463</v>
      </c>
      <c r="C121" t="s">
        <v>34</v>
      </c>
      <c r="D121" t="s">
        <v>35</v>
      </c>
      <c r="E121" t="s">
        <v>102</v>
      </c>
      <c r="F121" t="s">
        <v>29</v>
      </c>
      <c r="G121" t="s">
        <v>43</v>
      </c>
      <c r="H121">
        <v>1500</v>
      </c>
      <c r="I121">
        <v>13</v>
      </c>
      <c r="J121">
        <v>10</v>
      </c>
      <c r="K121">
        <v>15</v>
      </c>
      <c r="L121">
        <v>17550</v>
      </c>
      <c r="M121">
        <v>15991.44</v>
      </c>
      <c r="N121">
        <f t="shared" si="2"/>
        <v>1558.5599999999995</v>
      </c>
      <c r="O121" t="s">
        <v>38</v>
      </c>
      <c r="P121" t="s">
        <v>31</v>
      </c>
      <c r="Q121" t="s">
        <v>39</v>
      </c>
    </row>
    <row r="122" spans="1:17" x14ac:dyDescent="0.3">
      <c r="A122" t="s">
        <v>200</v>
      </c>
      <c r="B122" s="1">
        <v>45431</v>
      </c>
      <c r="C122" t="s">
        <v>34</v>
      </c>
      <c r="D122" t="s">
        <v>27</v>
      </c>
      <c r="E122" t="s">
        <v>20</v>
      </c>
      <c r="F122" t="s">
        <v>21</v>
      </c>
      <c r="G122" t="s">
        <v>22</v>
      </c>
      <c r="H122">
        <v>6000</v>
      </c>
      <c r="I122">
        <v>5</v>
      </c>
      <c r="J122">
        <v>15</v>
      </c>
      <c r="K122">
        <v>15</v>
      </c>
      <c r="L122">
        <v>25500</v>
      </c>
      <c r="M122">
        <v>25651.42</v>
      </c>
      <c r="N122">
        <f t="shared" si="2"/>
        <v>-151.41999999999825</v>
      </c>
      <c r="O122" t="s">
        <v>23</v>
      </c>
      <c r="P122" t="s">
        <v>24</v>
      </c>
      <c r="Q122" t="s">
        <v>25</v>
      </c>
    </row>
    <row r="123" spans="1:17" x14ac:dyDescent="0.3">
      <c r="A123" t="s">
        <v>201</v>
      </c>
      <c r="B123" s="1">
        <v>45365</v>
      </c>
      <c r="C123" t="s">
        <v>18</v>
      </c>
      <c r="D123" t="s">
        <v>27</v>
      </c>
      <c r="E123" t="s">
        <v>102</v>
      </c>
      <c r="F123" t="s">
        <v>29</v>
      </c>
      <c r="G123" t="s">
        <v>43</v>
      </c>
      <c r="H123">
        <v>1500</v>
      </c>
      <c r="I123">
        <v>4</v>
      </c>
      <c r="J123">
        <v>5</v>
      </c>
      <c r="K123">
        <v>0</v>
      </c>
      <c r="L123">
        <v>5700</v>
      </c>
      <c r="M123">
        <v>5697.4</v>
      </c>
      <c r="N123">
        <f t="shared" si="2"/>
        <v>2.6000000000003638</v>
      </c>
      <c r="O123" t="s">
        <v>23</v>
      </c>
      <c r="P123" t="s">
        <v>31</v>
      </c>
      <c r="Q123" t="s">
        <v>32</v>
      </c>
    </row>
    <row r="124" spans="1:17" x14ac:dyDescent="0.3">
      <c r="A124" t="s">
        <v>202</v>
      </c>
      <c r="B124" s="1">
        <v>45292</v>
      </c>
      <c r="C124" t="s">
        <v>18</v>
      </c>
      <c r="D124" t="s">
        <v>19</v>
      </c>
      <c r="E124" t="s">
        <v>20</v>
      </c>
      <c r="F124" t="s">
        <v>21</v>
      </c>
      <c r="G124" t="s">
        <v>22</v>
      </c>
      <c r="H124">
        <v>6000</v>
      </c>
      <c r="I124">
        <v>6</v>
      </c>
      <c r="J124">
        <v>10</v>
      </c>
      <c r="K124">
        <v>20</v>
      </c>
      <c r="L124">
        <v>32400</v>
      </c>
      <c r="M124">
        <v>29866.14</v>
      </c>
      <c r="N124">
        <f t="shared" si="2"/>
        <v>2533.8600000000006</v>
      </c>
      <c r="O124" t="s">
        <v>38</v>
      </c>
      <c r="P124" t="s">
        <v>31</v>
      </c>
      <c r="Q124" t="s">
        <v>39</v>
      </c>
    </row>
    <row r="125" spans="1:17" x14ac:dyDescent="0.3">
      <c r="A125" t="s">
        <v>203</v>
      </c>
      <c r="B125" s="1">
        <v>45351</v>
      </c>
      <c r="C125" t="s">
        <v>53</v>
      </c>
      <c r="D125" t="s">
        <v>27</v>
      </c>
      <c r="E125" t="s">
        <v>20</v>
      </c>
      <c r="F125" t="s">
        <v>21</v>
      </c>
      <c r="G125" t="s">
        <v>22</v>
      </c>
      <c r="H125">
        <v>6000</v>
      </c>
      <c r="I125">
        <v>11</v>
      </c>
      <c r="J125">
        <v>5</v>
      </c>
      <c r="K125">
        <v>5</v>
      </c>
      <c r="L125">
        <v>62700</v>
      </c>
      <c r="M125">
        <v>59777.47</v>
      </c>
      <c r="N125">
        <f t="shared" si="2"/>
        <v>2922.5299999999988</v>
      </c>
      <c r="O125" t="s">
        <v>23</v>
      </c>
      <c r="P125" t="s">
        <v>31</v>
      </c>
      <c r="Q125" t="s">
        <v>32</v>
      </c>
    </row>
    <row r="126" spans="1:17" x14ac:dyDescent="0.3">
      <c r="A126" t="s">
        <v>204</v>
      </c>
      <c r="B126" s="1">
        <v>45319</v>
      </c>
      <c r="C126" t="s">
        <v>49</v>
      </c>
      <c r="D126" t="s">
        <v>19</v>
      </c>
      <c r="E126" t="s">
        <v>167</v>
      </c>
      <c r="F126" t="s">
        <v>21</v>
      </c>
      <c r="G126" t="s">
        <v>82</v>
      </c>
      <c r="H126">
        <v>7000</v>
      </c>
      <c r="I126">
        <v>5</v>
      </c>
      <c r="J126">
        <v>5</v>
      </c>
      <c r="K126">
        <v>10</v>
      </c>
      <c r="L126">
        <v>33250</v>
      </c>
      <c r="M126">
        <v>31021.67</v>
      </c>
      <c r="N126">
        <f t="shared" si="2"/>
        <v>2228.3300000000017</v>
      </c>
      <c r="O126" t="s">
        <v>38</v>
      </c>
      <c r="P126" t="s">
        <v>31</v>
      </c>
      <c r="Q126" t="s">
        <v>39</v>
      </c>
    </row>
    <row r="127" spans="1:17" x14ac:dyDescent="0.3">
      <c r="A127" t="s">
        <v>205</v>
      </c>
      <c r="B127" s="1">
        <v>45381</v>
      </c>
      <c r="C127" t="s">
        <v>53</v>
      </c>
      <c r="D127" t="s">
        <v>41</v>
      </c>
      <c r="E127" t="s">
        <v>167</v>
      </c>
      <c r="F127" t="s">
        <v>21</v>
      </c>
      <c r="G127" t="s">
        <v>82</v>
      </c>
      <c r="H127">
        <v>7000</v>
      </c>
      <c r="I127">
        <v>10</v>
      </c>
      <c r="J127">
        <v>10</v>
      </c>
      <c r="K127">
        <v>10</v>
      </c>
      <c r="L127">
        <v>63000</v>
      </c>
      <c r="M127">
        <v>61019.22</v>
      </c>
      <c r="N127">
        <f t="shared" si="2"/>
        <v>1980.7799999999988</v>
      </c>
      <c r="O127" t="s">
        <v>23</v>
      </c>
      <c r="P127" t="s">
        <v>31</v>
      </c>
      <c r="Q127" t="s">
        <v>32</v>
      </c>
    </row>
    <row r="128" spans="1:17" x14ac:dyDescent="0.3">
      <c r="A128" t="s">
        <v>206</v>
      </c>
      <c r="B128" s="1">
        <v>45327</v>
      </c>
      <c r="C128" t="s">
        <v>49</v>
      </c>
      <c r="D128" t="s">
        <v>41</v>
      </c>
      <c r="E128" t="s">
        <v>90</v>
      </c>
      <c r="F128" t="s">
        <v>29</v>
      </c>
      <c r="G128" t="s">
        <v>37</v>
      </c>
      <c r="H128">
        <v>6500</v>
      </c>
      <c r="I128">
        <v>6</v>
      </c>
      <c r="J128">
        <v>10</v>
      </c>
      <c r="K128">
        <v>10</v>
      </c>
      <c r="L128">
        <v>35100</v>
      </c>
      <c r="M128">
        <v>34375.57</v>
      </c>
      <c r="N128">
        <f t="shared" si="2"/>
        <v>724.43000000000029</v>
      </c>
      <c r="O128" t="s">
        <v>23</v>
      </c>
      <c r="P128" t="s">
        <v>31</v>
      </c>
      <c r="Q128" t="s">
        <v>32</v>
      </c>
    </row>
    <row r="129" spans="1:17" x14ac:dyDescent="0.3">
      <c r="A129" t="s">
        <v>207</v>
      </c>
      <c r="B129" s="1">
        <v>45450</v>
      </c>
      <c r="C129" t="s">
        <v>49</v>
      </c>
      <c r="D129" t="s">
        <v>27</v>
      </c>
      <c r="E129" t="s">
        <v>42</v>
      </c>
      <c r="F129" t="s">
        <v>29</v>
      </c>
      <c r="G129" t="s">
        <v>43</v>
      </c>
      <c r="H129">
        <v>500</v>
      </c>
      <c r="I129">
        <v>8</v>
      </c>
      <c r="J129">
        <v>15</v>
      </c>
      <c r="K129">
        <v>20</v>
      </c>
      <c r="L129">
        <v>3400</v>
      </c>
      <c r="M129">
        <v>3307.14</v>
      </c>
      <c r="N129">
        <f t="shared" si="2"/>
        <v>92.860000000000127</v>
      </c>
      <c r="O129" t="s">
        <v>38</v>
      </c>
      <c r="P129" t="s">
        <v>31</v>
      </c>
      <c r="Q129" t="s">
        <v>39</v>
      </c>
    </row>
    <row r="130" spans="1:17" x14ac:dyDescent="0.3">
      <c r="A130" t="s">
        <v>208</v>
      </c>
      <c r="B130" s="1">
        <v>45350</v>
      </c>
      <c r="C130" t="s">
        <v>34</v>
      </c>
      <c r="D130" t="s">
        <v>41</v>
      </c>
      <c r="E130" t="s">
        <v>20</v>
      </c>
      <c r="F130" t="s">
        <v>21</v>
      </c>
      <c r="G130" t="s">
        <v>22</v>
      </c>
      <c r="H130">
        <v>6000</v>
      </c>
      <c r="I130">
        <v>14</v>
      </c>
      <c r="J130">
        <v>15</v>
      </c>
      <c r="K130">
        <v>10</v>
      </c>
      <c r="L130">
        <v>71400</v>
      </c>
      <c r="M130">
        <v>64040.73</v>
      </c>
      <c r="N130">
        <f t="shared" si="2"/>
        <v>7359.2699999999968</v>
      </c>
      <c r="O130" t="s">
        <v>23</v>
      </c>
      <c r="P130" t="s">
        <v>31</v>
      </c>
      <c r="Q130" t="s">
        <v>32</v>
      </c>
    </row>
    <row r="131" spans="1:17" x14ac:dyDescent="0.3">
      <c r="A131" t="s">
        <v>209</v>
      </c>
      <c r="B131" s="1">
        <v>45412</v>
      </c>
      <c r="C131" t="s">
        <v>18</v>
      </c>
      <c r="D131" t="s">
        <v>41</v>
      </c>
      <c r="E131" t="s">
        <v>140</v>
      </c>
      <c r="F131" t="s">
        <v>141</v>
      </c>
      <c r="G131" t="s">
        <v>142</v>
      </c>
      <c r="H131">
        <v>12000</v>
      </c>
      <c r="I131">
        <v>3</v>
      </c>
      <c r="J131">
        <v>15</v>
      </c>
      <c r="K131">
        <v>10</v>
      </c>
      <c r="L131">
        <v>30600</v>
      </c>
      <c r="M131">
        <v>27550.32</v>
      </c>
      <c r="N131">
        <f t="shared" ref="N131:N194" si="3">L131-M131</f>
        <v>3049.6800000000003</v>
      </c>
      <c r="O131" t="s">
        <v>23</v>
      </c>
      <c r="P131" t="s">
        <v>31</v>
      </c>
      <c r="Q131" t="s">
        <v>32</v>
      </c>
    </row>
    <row r="132" spans="1:17" x14ac:dyDescent="0.3">
      <c r="A132" t="s">
        <v>210</v>
      </c>
      <c r="B132" s="1">
        <v>45316</v>
      </c>
      <c r="C132" t="s">
        <v>53</v>
      </c>
      <c r="D132" t="s">
        <v>19</v>
      </c>
      <c r="E132" t="s">
        <v>100</v>
      </c>
      <c r="F132" t="s">
        <v>46</v>
      </c>
      <c r="G132" t="s">
        <v>55</v>
      </c>
      <c r="H132">
        <v>2500</v>
      </c>
      <c r="I132">
        <v>9</v>
      </c>
      <c r="J132">
        <v>5</v>
      </c>
      <c r="K132">
        <v>0</v>
      </c>
      <c r="L132">
        <v>21375</v>
      </c>
      <c r="M132">
        <v>21632.46</v>
      </c>
      <c r="N132">
        <f t="shared" si="3"/>
        <v>-257.45999999999913</v>
      </c>
      <c r="O132" t="s">
        <v>23</v>
      </c>
      <c r="P132" t="s">
        <v>24</v>
      </c>
      <c r="Q132" t="s">
        <v>25</v>
      </c>
    </row>
    <row r="133" spans="1:17" x14ac:dyDescent="0.3">
      <c r="A133" t="s">
        <v>211</v>
      </c>
      <c r="B133" s="1">
        <v>45415</v>
      </c>
      <c r="C133" t="s">
        <v>53</v>
      </c>
      <c r="D133" t="s">
        <v>27</v>
      </c>
      <c r="E133" t="s">
        <v>28</v>
      </c>
      <c r="F133" t="s">
        <v>29</v>
      </c>
      <c r="G133" t="s">
        <v>30</v>
      </c>
      <c r="H133">
        <v>1800</v>
      </c>
      <c r="I133">
        <v>2</v>
      </c>
      <c r="J133">
        <v>15</v>
      </c>
      <c r="K133">
        <v>5</v>
      </c>
      <c r="L133">
        <v>3060</v>
      </c>
      <c r="M133">
        <v>3070.95</v>
      </c>
      <c r="N133">
        <f t="shared" si="3"/>
        <v>-10.949999999999818</v>
      </c>
      <c r="O133" t="s">
        <v>23</v>
      </c>
      <c r="P133" t="s">
        <v>24</v>
      </c>
      <c r="Q133" t="s">
        <v>25</v>
      </c>
    </row>
    <row r="134" spans="1:17" x14ac:dyDescent="0.3">
      <c r="A134" t="s">
        <v>212</v>
      </c>
      <c r="B134" s="1">
        <v>45321</v>
      </c>
      <c r="C134" t="s">
        <v>53</v>
      </c>
      <c r="D134" t="s">
        <v>27</v>
      </c>
      <c r="E134" t="s">
        <v>75</v>
      </c>
      <c r="F134" t="s">
        <v>76</v>
      </c>
      <c r="G134" t="s">
        <v>77</v>
      </c>
      <c r="H134">
        <v>8000</v>
      </c>
      <c r="I134">
        <v>14</v>
      </c>
      <c r="J134">
        <v>10</v>
      </c>
      <c r="K134">
        <v>0</v>
      </c>
      <c r="L134">
        <v>100800</v>
      </c>
      <c r="M134">
        <v>93270.66</v>
      </c>
      <c r="N134">
        <f t="shared" si="3"/>
        <v>7529.3399999999965</v>
      </c>
      <c r="O134" t="s">
        <v>23</v>
      </c>
      <c r="P134" t="s">
        <v>31</v>
      </c>
      <c r="Q134" t="s">
        <v>32</v>
      </c>
    </row>
    <row r="135" spans="1:17" x14ac:dyDescent="0.3">
      <c r="A135" t="s">
        <v>213</v>
      </c>
      <c r="B135" s="1">
        <v>45315</v>
      </c>
      <c r="C135" t="s">
        <v>49</v>
      </c>
      <c r="D135" t="s">
        <v>35</v>
      </c>
      <c r="E135" t="s">
        <v>20</v>
      </c>
      <c r="F135" t="s">
        <v>21</v>
      </c>
      <c r="G135" t="s">
        <v>22</v>
      </c>
      <c r="H135">
        <v>6000</v>
      </c>
      <c r="I135">
        <v>1</v>
      </c>
      <c r="J135">
        <v>10</v>
      </c>
      <c r="K135">
        <v>10</v>
      </c>
      <c r="L135">
        <v>5400</v>
      </c>
      <c r="M135">
        <v>4930.12</v>
      </c>
      <c r="N135">
        <f t="shared" si="3"/>
        <v>469.88000000000011</v>
      </c>
      <c r="O135" t="s">
        <v>23</v>
      </c>
      <c r="P135" t="s">
        <v>31</v>
      </c>
      <c r="Q135" t="s">
        <v>32</v>
      </c>
    </row>
    <row r="136" spans="1:17" x14ac:dyDescent="0.3">
      <c r="A136" t="s">
        <v>214</v>
      </c>
      <c r="B136" s="1">
        <v>45404</v>
      </c>
      <c r="C136" t="s">
        <v>49</v>
      </c>
      <c r="D136" t="s">
        <v>27</v>
      </c>
      <c r="E136" t="s">
        <v>90</v>
      </c>
      <c r="F136" t="s">
        <v>29</v>
      </c>
      <c r="G136" t="s">
        <v>37</v>
      </c>
      <c r="H136">
        <v>6500</v>
      </c>
      <c r="I136">
        <v>9</v>
      </c>
      <c r="J136">
        <v>10</v>
      </c>
      <c r="K136">
        <v>20</v>
      </c>
      <c r="L136">
        <v>52650</v>
      </c>
      <c r="M136">
        <v>54665.08</v>
      </c>
      <c r="N136">
        <f t="shared" si="3"/>
        <v>-2015.0800000000017</v>
      </c>
      <c r="O136" t="s">
        <v>38</v>
      </c>
      <c r="P136" t="s">
        <v>24</v>
      </c>
      <c r="Q136" t="s">
        <v>39</v>
      </c>
    </row>
    <row r="137" spans="1:17" x14ac:dyDescent="0.3">
      <c r="A137" t="s">
        <v>215</v>
      </c>
      <c r="B137" s="1">
        <v>45310</v>
      </c>
      <c r="C137" t="s">
        <v>34</v>
      </c>
      <c r="D137" t="s">
        <v>27</v>
      </c>
      <c r="E137" t="s">
        <v>36</v>
      </c>
      <c r="F137" t="s">
        <v>29</v>
      </c>
      <c r="G137" t="s">
        <v>37</v>
      </c>
      <c r="H137">
        <v>1200</v>
      </c>
      <c r="I137">
        <v>15</v>
      </c>
      <c r="J137">
        <v>10</v>
      </c>
      <c r="K137">
        <v>10</v>
      </c>
      <c r="L137">
        <v>16200</v>
      </c>
      <c r="M137">
        <v>16989.91</v>
      </c>
      <c r="N137">
        <f t="shared" si="3"/>
        <v>-789.90999999999985</v>
      </c>
      <c r="O137" t="s">
        <v>23</v>
      </c>
      <c r="P137" t="s">
        <v>24</v>
      </c>
      <c r="Q137" t="s">
        <v>25</v>
      </c>
    </row>
    <row r="138" spans="1:17" x14ac:dyDescent="0.3">
      <c r="A138" t="s">
        <v>216</v>
      </c>
      <c r="B138" s="1">
        <v>45437</v>
      </c>
      <c r="C138" t="s">
        <v>18</v>
      </c>
      <c r="D138" t="s">
        <v>92</v>
      </c>
      <c r="E138" t="s">
        <v>90</v>
      </c>
      <c r="F138" t="s">
        <v>29</v>
      </c>
      <c r="G138" t="s">
        <v>37</v>
      </c>
      <c r="H138">
        <v>6500</v>
      </c>
      <c r="I138">
        <v>8</v>
      </c>
      <c r="J138">
        <v>5</v>
      </c>
      <c r="K138">
        <v>0</v>
      </c>
      <c r="L138">
        <v>49400</v>
      </c>
      <c r="M138">
        <v>45486.559999999998</v>
      </c>
      <c r="N138">
        <f t="shared" si="3"/>
        <v>3913.4400000000023</v>
      </c>
      <c r="O138" t="s">
        <v>23</v>
      </c>
      <c r="P138" t="s">
        <v>31</v>
      </c>
      <c r="Q138" t="s">
        <v>32</v>
      </c>
    </row>
    <row r="139" spans="1:17" x14ac:dyDescent="0.3">
      <c r="A139" t="s">
        <v>217</v>
      </c>
      <c r="B139" s="1">
        <v>45426</v>
      </c>
      <c r="C139" t="s">
        <v>53</v>
      </c>
      <c r="D139" t="s">
        <v>19</v>
      </c>
      <c r="E139" t="s">
        <v>140</v>
      </c>
      <c r="F139" t="s">
        <v>141</v>
      </c>
      <c r="G139" t="s">
        <v>142</v>
      </c>
      <c r="H139">
        <v>12000</v>
      </c>
      <c r="I139">
        <v>6</v>
      </c>
      <c r="J139">
        <v>15</v>
      </c>
      <c r="K139">
        <v>5</v>
      </c>
      <c r="L139">
        <v>61200</v>
      </c>
      <c r="M139">
        <v>63912.01</v>
      </c>
      <c r="N139">
        <f t="shared" si="3"/>
        <v>-2712.010000000002</v>
      </c>
      <c r="O139" t="s">
        <v>23</v>
      </c>
      <c r="P139" t="s">
        <v>24</v>
      </c>
      <c r="Q139" t="s">
        <v>25</v>
      </c>
    </row>
    <row r="140" spans="1:17" x14ac:dyDescent="0.3">
      <c r="A140" t="s">
        <v>218</v>
      </c>
      <c r="B140" s="1">
        <v>45398</v>
      </c>
      <c r="C140" t="s">
        <v>53</v>
      </c>
      <c r="D140" t="s">
        <v>19</v>
      </c>
      <c r="E140" t="s">
        <v>155</v>
      </c>
      <c r="F140" t="s">
        <v>21</v>
      </c>
      <c r="G140" t="s">
        <v>72</v>
      </c>
      <c r="H140">
        <v>35000</v>
      </c>
      <c r="I140">
        <v>4</v>
      </c>
      <c r="J140">
        <v>15</v>
      </c>
      <c r="K140">
        <v>20</v>
      </c>
      <c r="L140">
        <v>119000</v>
      </c>
      <c r="M140">
        <v>111850.4</v>
      </c>
      <c r="N140">
        <f t="shared" si="3"/>
        <v>7149.6000000000058</v>
      </c>
      <c r="O140" t="s">
        <v>38</v>
      </c>
      <c r="P140" t="s">
        <v>31</v>
      </c>
      <c r="Q140" t="s">
        <v>39</v>
      </c>
    </row>
    <row r="141" spans="1:17" x14ac:dyDescent="0.3">
      <c r="A141" t="s">
        <v>219</v>
      </c>
      <c r="B141" s="1">
        <v>45443</v>
      </c>
      <c r="C141" t="s">
        <v>53</v>
      </c>
      <c r="D141" t="s">
        <v>35</v>
      </c>
      <c r="E141" t="s">
        <v>90</v>
      </c>
      <c r="F141" t="s">
        <v>29</v>
      </c>
      <c r="G141" t="s">
        <v>37</v>
      </c>
      <c r="H141">
        <v>6500</v>
      </c>
      <c r="I141">
        <v>9</v>
      </c>
      <c r="J141">
        <v>10</v>
      </c>
      <c r="K141">
        <v>20</v>
      </c>
      <c r="L141">
        <v>52650</v>
      </c>
      <c r="M141">
        <v>45941.77</v>
      </c>
      <c r="N141">
        <f t="shared" si="3"/>
        <v>6708.2300000000032</v>
      </c>
      <c r="O141" t="s">
        <v>38</v>
      </c>
      <c r="P141" t="s">
        <v>31</v>
      </c>
      <c r="Q141" t="s">
        <v>39</v>
      </c>
    </row>
    <row r="142" spans="1:17" x14ac:dyDescent="0.3">
      <c r="A142" t="s">
        <v>220</v>
      </c>
      <c r="B142" s="1">
        <v>45389</v>
      </c>
      <c r="C142" t="s">
        <v>53</v>
      </c>
      <c r="D142" t="s">
        <v>19</v>
      </c>
      <c r="E142" t="s">
        <v>100</v>
      </c>
      <c r="F142" t="s">
        <v>46</v>
      </c>
      <c r="G142" t="s">
        <v>55</v>
      </c>
      <c r="H142">
        <v>2500</v>
      </c>
      <c r="I142">
        <v>3</v>
      </c>
      <c r="J142">
        <v>5</v>
      </c>
      <c r="K142">
        <v>10</v>
      </c>
      <c r="L142">
        <v>7125</v>
      </c>
      <c r="M142">
        <v>6845.11</v>
      </c>
      <c r="N142">
        <f t="shared" si="3"/>
        <v>279.89000000000033</v>
      </c>
      <c r="O142" t="s">
        <v>38</v>
      </c>
      <c r="P142" t="s">
        <v>31</v>
      </c>
      <c r="Q142" t="s">
        <v>39</v>
      </c>
    </row>
    <row r="143" spans="1:17" x14ac:dyDescent="0.3">
      <c r="A143" t="s">
        <v>221</v>
      </c>
      <c r="B143" s="1">
        <v>45429</v>
      </c>
      <c r="C143" t="s">
        <v>53</v>
      </c>
      <c r="D143" t="s">
        <v>19</v>
      </c>
      <c r="E143" t="s">
        <v>107</v>
      </c>
      <c r="F143" t="s">
        <v>108</v>
      </c>
      <c r="G143" t="s">
        <v>109</v>
      </c>
      <c r="H143">
        <v>18000</v>
      </c>
      <c r="I143">
        <v>1</v>
      </c>
      <c r="J143">
        <v>5</v>
      </c>
      <c r="K143">
        <v>20</v>
      </c>
      <c r="L143">
        <v>17100</v>
      </c>
      <c r="M143">
        <v>17502.71</v>
      </c>
      <c r="N143">
        <f t="shared" si="3"/>
        <v>-402.70999999999913</v>
      </c>
      <c r="O143" t="s">
        <v>38</v>
      </c>
      <c r="P143" t="s">
        <v>24</v>
      </c>
      <c r="Q143" t="s">
        <v>39</v>
      </c>
    </row>
    <row r="144" spans="1:17" x14ac:dyDescent="0.3">
      <c r="A144" t="s">
        <v>222</v>
      </c>
      <c r="B144" s="1">
        <v>45311</v>
      </c>
      <c r="C144" t="s">
        <v>18</v>
      </c>
      <c r="D144" t="s">
        <v>19</v>
      </c>
      <c r="E144" t="s">
        <v>50</v>
      </c>
      <c r="F144" t="s">
        <v>21</v>
      </c>
      <c r="G144" t="s">
        <v>51</v>
      </c>
      <c r="H144">
        <v>4500</v>
      </c>
      <c r="I144">
        <v>4</v>
      </c>
      <c r="J144">
        <v>5</v>
      </c>
      <c r="K144">
        <v>5</v>
      </c>
      <c r="L144">
        <v>17100</v>
      </c>
      <c r="M144">
        <v>15437.8</v>
      </c>
      <c r="N144">
        <f t="shared" si="3"/>
        <v>1662.2000000000007</v>
      </c>
      <c r="O144" t="s">
        <v>23</v>
      </c>
      <c r="P144" t="s">
        <v>31</v>
      </c>
      <c r="Q144" t="s">
        <v>32</v>
      </c>
    </row>
    <row r="145" spans="1:17" x14ac:dyDescent="0.3">
      <c r="A145" t="s">
        <v>223</v>
      </c>
      <c r="B145" s="1">
        <v>45313</v>
      </c>
      <c r="C145" t="s">
        <v>18</v>
      </c>
      <c r="D145" t="s">
        <v>27</v>
      </c>
      <c r="E145" t="s">
        <v>42</v>
      </c>
      <c r="F145" t="s">
        <v>29</v>
      </c>
      <c r="G145" t="s">
        <v>43</v>
      </c>
      <c r="H145">
        <v>500</v>
      </c>
      <c r="I145">
        <v>2</v>
      </c>
      <c r="J145">
        <v>15</v>
      </c>
      <c r="K145">
        <v>20</v>
      </c>
      <c r="L145">
        <v>850</v>
      </c>
      <c r="M145">
        <v>848.75</v>
      </c>
      <c r="N145">
        <f t="shared" si="3"/>
        <v>1.25</v>
      </c>
      <c r="O145" t="s">
        <v>38</v>
      </c>
      <c r="P145" t="s">
        <v>31</v>
      </c>
      <c r="Q145" t="s">
        <v>39</v>
      </c>
    </row>
    <row r="146" spans="1:17" x14ac:dyDescent="0.3">
      <c r="A146" t="s">
        <v>224</v>
      </c>
      <c r="B146" s="1">
        <v>45348</v>
      </c>
      <c r="C146" t="s">
        <v>53</v>
      </c>
      <c r="D146" t="s">
        <v>70</v>
      </c>
      <c r="E146" t="s">
        <v>54</v>
      </c>
      <c r="F146" t="s">
        <v>46</v>
      </c>
      <c r="G146" t="s">
        <v>55</v>
      </c>
      <c r="H146">
        <v>4500</v>
      </c>
      <c r="I146">
        <v>10</v>
      </c>
      <c r="J146">
        <v>5</v>
      </c>
      <c r="K146">
        <v>10</v>
      </c>
      <c r="L146">
        <v>42750</v>
      </c>
      <c r="M146">
        <v>38426.46</v>
      </c>
      <c r="N146">
        <f t="shared" si="3"/>
        <v>4323.5400000000009</v>
      </c>
      <c r="O146" t="s">
        <v>38</v>
      </c>
      <c r="P146" t="s">
        <v>31</v>
      </c>
      <c r="Q146" t="s">
        <v>39</v>
      </c>
    </row>
    <row r="147" spans="1:17" x14ac:dyDescent="0.3">
      <c r="A147" t="s">
        <v>225</v>
      </c>
      <c r="B147" s="1">
        <v>45314</v>
      </c>
      <c r="C147" t="s">
        <v>53</v>
      </c>
      <c r="D147" t="s">
        <v>19</v>
      </c>
      <c r="E147" t="s">
        <v>90</v>
      </c>
      <c r="F147" t="s">
        <v>29</v>
      </c>
      <c r="G147" t="s">
        <v>37</v>
      </c>
      <c r="H147">
        <v>6500</v>
      </c>
      <c r="I147">
        <v>12</v>
      </c>
      <c r="J147">
        <v>5</v>
      </c>
      <c r="K147">
        <v>0</v>
      </c>
      <c r="L147">
        <v>74100</v>
      </c>
      <c r="M147">
        <v>65566.289999999994</v>
      </c>
      <c r="N147">
        <f t="shared" si="3"/>
        <v>8533.7100000000064</v>
      </c>
      <c r="O147" t="s">
        <v>23</v>
      </c>
      <c r="P147" t="s">
        <v>31</v>
      </c>
      <c r="Q147" t="s">
        <v>32</v>
      </c>
    </row>
    <row r="148" spans="1:17" x14ac:dyDescent="0.3">
      <c r="A148" t="s">
        <v>226</v>
      </c>
      <c r="B148" s="1">
        <v>45332</v>
      </c>
      <c r="C148" t="s">
        <v>53</v>
      </c>
      <c r="D148" t="s">
        <v>19</v>
      </c>
      <c r="E148" t="s">
        <v>20</v>
      </c>
      <c r="F148" t="s">
        <v>21</v>
      </c>
      <c r="G148" t="s">
        <v>22</v>
      </c>
      <c r="H148">
        <v>6000</v>
      </c>
      <c r="I148">
        <v>11</v>
      </c>
      <c r="J148">
        <v>15</v>
      </c>
      <c r="K148">
        <v>15</v>
      </c>
      <c r="L148">
        <v>56100</v>
      </c>
      <c r="M148">
        <v>50840.88</v>
      </c>
      <c r="N148">
        <f t="shared" si="3"/>
        <v>5259.1200000000026</v>
      </c>
      <c r="O148" t="s">
        <v>23</v>
      </c>
      <c r="P148" t="s">
        <v>31</v>
      </c>
      <c r="Q148" t="s">
        <v>32</v>
      </c>
    </row>
    <row r="149" spans="1:17" x14ac:dyDescent="0.3">
      <c r="A149" t="s">
        <v>227</v>
      </c>
      <c r="B149" s="1">
        <v>45441</v>
      </c>
      <c r="C149" t="s">
        <v>34</v>
      </c>
      <c r="D149" t="s">
        <v>41</v>
      </c>
      <c r="E149" t="s">
        <v>90</v>
      </c>
      <c r="F149" t="s">
        <v>29</v>
      </c>
      <c r="G149" t="s">
        <v>37</v>
      </c>
      <c r="H149">
        <v>6500</v>
      </c>
      <c r="I149">
        <v>2</v>
      </c>
      <c r="J149">
        <v>5</v>
      </c>
      <c r="K149">
        <v>25</v>
      </c>
      <c r="L149">
        <v>12350</v>
      </c>
      <c r="M149">
        <v>12006.31</v>
      </c>
      <c r="N149">
        <f t="shared" si="3"/>
        <v>343.69000000000051</v>
      </c>
      <c r="O149" t="s">
        <v>38</v>
      </c>
      <c r="P149" t="s">
        <v>31</v>
      </c>
      <c r="Q149" t="s">
        <v>39</v>
      </c>
    </row>
    <row r="150" spans="1:17" x14ac:dyDescent="0.3">
      <c r="A150" t="s">
        <v>228</v>
      </c>
      <c r="B150" s="1">
        <v>45432</v>
      </c>
      <c r="C150" t="s">
        <v>34</v>
      </c>
      <c r="D150" t="s">
        <v>35</v>
      </c>
      <c r="E150" t="s">
        <v>90</v>
      </c>
      <c r="F150" t="s">
        <v>29</v>
      </c>
      <c r="G150" t="s">
        <v>37</v>
      </c>
      <c r="H150">
        <v>6500</v>
      </c>
      <c r="I150">
        <v>5</v>
      </c>
      <c r="J150">
        <v>15</v>
      </c>
      <c r="K150">
        <v>5</v>
      </c>
      <c r="L150">
        <v>27625</v>
      </c>
      <c r="M150">
        <v>25706.06</v>
      </c>
      <c r="N150">
        <f t="shared" si="3"/>
        <v>1918.9399999999987</v>
      </c>
      <c r="O150" t="s">
        <v>23</v>
      </c>
      <c r="P150" t="s">
        <v>31</v>
      </c>
      <c r="Q150" t="s">
        <v>32</v>
      </c>
    </row>
    <row r="151" spans="1:17" x14ac:dyDescent="0.3">
      <c r="A151" t="s">
        <v>229</v>
      </c>
      <c r="B151" s="1">
        <v>45323</v>
      </c>
      <c r="C151" t="s">
        <v>34</v>
      </c>
      <c r="D151" t="s">
        <v>27</v>
      </c>
      <c r="E151" t="s">
        <v>140</v>
      </c>
      <c r="F151" t="s">
        <v>141</v>
      </c>
      <c r="G151" t="s">
        <v>142</v>
      </c>
      <c r="H151">
        <v>12000</v>
      </c>
      <c r="I151">
        <v>12</v>
      </c>
      <c r="J151">
        <v>15</v>
      </c>
      <c r="K151">
        <v>5</v>
      </c>
      <c r="L151">
        <v>122400</v>
      </c>
      <c r="M151">
        <v>125685.09</v>
      </c>
      <c r="N151">
        <f t="shared" si="3"/>
        <v>-3285.0899999999965</v>
      </c>
      <c r="O151" t="s">
        <v>23</v>
      </c>
      <c r="P151" t="s">
        <v>24</v>
      </c>
      <c r="Q151" t="s">
        <v>25</v>
      </c>
    </row>
    <row r="152" spans="1:17" x14ac:dyDescent="0.3">
      <c r="A152" t="s">
        <v>230</v>
      </c>
      <c r="B152" s="1">
        <v>45336</v>
      </c>
      <c r="C152" t="s">
        <v>34</v>
      </c>
      <c r="D152" t="s">
        <v>92</v>
      </c>
      <c r="E152" t="s">
        <v>67</v>
      </c>
      <c r="F152" t="s">
        <v>29</v>
      </c>
      <c r="G152" t="s">
        <v>68</v>
      </c>
      <c r="H152">
        <v>1200</v>
      </c>
      <c r="I152">
        <v>9</v>
      </c>
      <c r="J152">
        <v>10</v>
      </c>
      <c r="K152">
        <v>15</v>
      </c>
      <c r="L152">
        <v>9720</v>
      </c>
      <c r="M152">
        <v>8973.6200000000008</v>
      </c>
      <c r="N152">
        <f t="shared" si="3"/>
        <v>746.3799999999992</v>
      </c>
      <c r="O152" t="s">
        <v>38</v>
      </c>
      <c r="P152" t="s">
        <v>31</v>
      </c>
      <c r="Q152" t="s">
        <v>39</v>
      </c>
    </row>
    <row r="153" spans="1:17" x14ac:dyDescent="0.3">
      <c r="A153" t="s">
        <v>231</v>
      </c>
      <c r="B153" s="1">
        <v>45373</v>
      </c>
      <c r="C153" t="s">
        <v>18</v>
      </c>
      <c r="D153" t="s">
        <v>35</v>
      </c>
      <c r="E153" t="s">
        <v>151</v>
      </c>
      <c r="F153" t="s">
        <v>141</v>
      </c>
      <c r="G153" t="s">
        <v>142</v>
      </c>
      <c r="H153">
        <v>3500</v>
      </c>
      <c r="I153">
        <v>3</v>
      </c>
      <c r="J153">
        <v>5</v>
      </c>
      <c r="K153">
        <v>10</v>
      </c>
      <c r="L153">
        <v>9975</v>
      </c>
      <c r="M153">
        <v>9150.5400000000009</v>
      </c>
      <c r="N153">
        <f t="shared" si="3"/>
        <v>824.45999999999913</v>
      </c>
      <c r="O153" t="s">
        <v>38</v>
      </c>
      <c r="P153" t="s">
        <v>31</v>
      </c>
      <c r="Q153" t="s">
        <v>39</v>
      </c>
    </row>
    <row r="154" spans="1:17" x14ac:dyDescent="0.3">
      <c r="A154" t="s">
        <v>232</v>
      </c>
      <c r="B154" s="1">
        <v>45444</v>
      </c>
      <c r="C154" t="s">
        <v>18</v>
      </c>
      <c r="D154" t="s">
        <v>70</v>
      </c>
      <c r="E154" t="s">
        <v>90</v>
      </c>
      <c r="F154" t="s">
        <v>29</v>
      </c>
      <c r="G154" t="s">
        <v>37</v>
      </c>
      <c r="H154">
        <v>6500</v>
      </c>
      <c r="I154">
        <v>7</v>
      </c>
      <c r="J154">
        <v>15</v>
      </c>
      <c r="K154">
        <v>10</v>
      </c>
      <c r="L154">
        <v>38675</v>
      </c>
      <c r="M154">
        <v>36633.06</v>
      </c>
      <c r="N154">
        <f t="shared" si="3"/>
        <v>2041.9400000000023</v>
      </c>
      <c r="O154" t="s">
        <v>23</v>
      </c>
      <c r="P154" t="s">
        <v>31</v>
      </c>
      <c r="Q154" t="s">
        <v>32</v>
      </c>
    </row>
    <row r="155" spans="1:17" x14ac:dyDescent="0.3">
      <c r="A155" t="s">
        <v>233</v>
      </c>
      <c r="B155" s="1">
        <v>45381</v>
      </c>
      <c r="C155" t="s">
        <v>34</v>
      </c>
      <c r="D155" t="s">
        <v>70</v>
      </c>
      <c r="E155" t="s">
        <v>104</v>
      </c>
      <c r="F155" t="s">
        <v>29</v>
      </c>
      <c r="G155" t="s">
        <v>30</v>
      </c>
      <c r="H155">
        <v>1200</v>
      </c>
      <c r="I155">
        <v>9</v>
      </c>
      <c r="J155">
        <v>15</v>
      </c>
      <c r="K155">
        <v>20</v>
      </c>
      <c r="L155">
        <v>9180</v>
      </c>
      <c r="M155">
        <v>8479.86</v>
      </c>
      <c r="N155">
        <f t="shared" si="3"/>
        <v>700.13999999999942</v>
      </c>
      <c r="O155" t="s">
        <v>38</v>
      </c>
      <c r="P155" t="s">
        <v>31</v>
      </c>
      <c r="Q155" t="s">
        <v>39</v>
      </c>
    </row>
    <row r="156" spans="1:17" x14ac:dyDescent="0.3">
      <c r="A156" t="s">
        <v>234</v>
      </c>
      <c r="B156" s="1">
        <v>45450</v>
      </c>
      <c r="C156" t="s">
        <v>49</v>
      </c>
      <c r="D156" t="s">
        <v>70</v>
      </c>
      <c r="E156" t="s">
        <v>155</v>
      </c>
      <c r="F156" t="s">
        <v>21</v>
      </c>
      <c r="G156" t="s">
        <v>72</v>
      </c>
      <c r="H156">
        <v>35000</v>
      </c>
      <c r="I156">
        <v>11</v>
      </c>
      <c r="J156">
        <v>10</v>
      </c>
      <c r="K156">
        <v>10</v>
      </c>
      <c r="L156">
        <v>346500</v>
      </c>
      <c r="M156">
        <v>295895.78000000003</v>
      </c>
      <c r="N156">
        <f t="shared" si="3"/>
        <v>50604.219999999972</v>
      </c>
      <c r="O156" t="s">
        <v>23</v>
      </c>
      <c r="P156" t="s">
        <v>31</v>
      </c>
      <c r="Q156" t="s">
        <v>32</v>
      </c>
    </row>
    <row r="157" spans="1:17" x14ac:dyDescent="0.3">
      <c r="A157" t="s">
        <v>235</v>
      </c>
      <c r="B157" s="1">
        <v>45342</v>
      </c>
      <c r="C157" t="s">
        <v>49</v>
      </c>
      <c r="D157" t="s">
        <v>70</v>
      </c>
      <c r="E157" t="s">
        <v>100</v>
      </c>
      <c r="F157" t="s">
        <v>46</v>
      </c>
      <c r="G157" t="s">
        <v>55</v>
      </c>
      <c r="H157">
        <v>2500</v>
      </c>
      <c r="I157">
        <v>11</v>
      </c>
      <c r="J157">
        <v>10</v>
      </c>
      <c r="K157">
        <v>25</v>
      </c>
      <c r="L157">
        <v>24750</v>
      </c>
      <c r="M157">
        <v>25580.07</v>
      </c>
      <c r="N157">
        <f t="shared" si="3"/>
        <v>-830.06999999999971</v>
      </c>
      <c r="O157" t="s">
        <v>38</v>
      </c>
      <c r="P157" t="s">
        <v>24</v>
      </c>
      <c r="Q157" t="s">
        <v>39</v>
      </c>
    </row>
    <row r="158" spans="1:17" x14ac:dyDescent="0.3">
      <c r="A158" t="s">
        <v>236</v>
      </c>
      <c r="B158" s="1">
        <v>45339</v>
      </c>
      <c r="C158" t="s">
        <v>53</v>
      </c>
      <c r="D158" t="s">
        <v>27</v>
      </c>
      <c r="E158" t="s">
        <v>57</v>
      </c>
      <c r="F158" t="s">
        <v>46</v>
      </c>
      <c r="G158" t="s">
        <v>58</v>
      </c>
      <c r="H158">
        <v>18000</v>
      </c>
      <c r="I158">
        <v>12</v>
      </c>
      <c r="J158">
        <v>15</v>
      </c>
      <c r="K158">
        <v>15</v>
      </c>
      <c r="L158">
        <v>183600</v>
      </c>
      <c r="M158">
        <v>167932.76</v>
      </c>
      <c r="N158">
        <f t="shared" si="3"/>
        <v>15667.239999999991</v>
      </c>
      <c r="O158" t="s">
        <v>23</v>
      </c>
      <c r="P158" t="s">
        <v>31</v>
      </c>
      <c r="Q158" t="s">
        <v>32</v>
      </c>
    </row>
    <row r="159" spans="1:17" x14ac:dyDescent="0.3">
      <c r="A159" t="s">
        <v>237</v>
      </c>
      <c r="B159" s="1">
        <v>45308</v>
      </c>
      <c r="C159" t="s">
        <v>18</v>
      </c>
      <c r="D159" t="s">
        <v>35</v>
      </c>
      <c r="E159" t="s">
        <v>151</v>
      </c>
      <c r="F159" t="s">
        <v>141</v>
      </c>
      <c r="G159" t="s">
        <v>142</v>
      </c>
      <c r="H159">
        <v>3500</v>
      </c>
      <c r="I159">
        <v>5</v>
      </c>
      <c r="J159">
        <v>10</v>
      </c>
      <c r="K159">
        <v>0</v>
      </c>
      <c r="L159">
        <v>15750</v>
      </c>
      <c r="M159">
        <v>16057.33</v>
      </c>
      <c r="N159">
        <f t="shared" si="3"/>
        <v>-307.32999999999993</v>
      </c>
      <c r="O159" t="s">
        <v>23</v>
      </c>
      <c r="P159" t="s">
        <v>24</v>
      </c>
      <c r="Q159" t="s">
        <v>25</v>
      </c>
    </row>
    <row r="160" spans="1:17" x14ac:dyDescent="0.3">
      <c r="A160" t="s">
        <v>238</v>
      </c>
      <c r="B160" s="1">
        <v>45335</v>
      </c>
      <c r="C160" t="s">
        <v>53</v>
      </c>
      <c r="D160" t="s">
        <v>70</v>
      </c>
      <c r="E160" t="s">
        <v>63</v>
      </c>
      <c r="F160" t="s">
        <v>64</v>
      </c>
      <c r="G160" t="s">
        <v>65</v>
      </c>
      <c r="H160">
        <v>4000</v>
      </c>
      <c r="I160">
        <v>14</v>
      </c>
      <c r="J160">
        <v>15</v>
      </c>
      <c r="K160">
        <v>15</v>
      </c>
      <c r="L160">
        <v>47600</v>
      </c>
      <c r="M160">
        <v>45638.879999999997</v>
      </c>
      <c r="N160">
        <f t="shared" si="3"/>
        <v>1961.1200000000026</v>
      </c>
      <c r="O160" t="s">
        <v>23</v>
      </c>
      <c r="P160" t="s">
        <v>31</v>
      </c>
      <c r="Q160" t="s">
        <v>32</v>
      </c>
    </row>
    <row r="161" spans="1:17" x14ac:dyDescent="0.3">
      <c r="A161" t="s">
        <v>239</v>
      </c>
      <c r="B161" s="1">
        <v>45302</v>
      </c>
      <c r="C161" t="s">
        <v>34</v>
      </c>
      <c r="D161" t="s">
        <v>35</v>
      </c>
      <c r="E161" t="s">
        <v>75</v>
      </c>
      <c r="F161" t="s">
        <v>76</v>
      </c>
      <c r="G161" t="s">
        <v>77</v>
      </c>
      <c r="H161">
        <v>8000</v>
      </c>
      <c r="I161">
        <v>8</v>
      </c>
      <c r="J161">
        <v>10</v>
      </c>
      <c r="K161">
        <v>5</v>
      </c>
      <c r="L161">
        <v>57600</v>
      </c>
      <c r="M161">
        <v>57785.03</v>
      </c>
      <c r="N161">
        <f t="shared" si="3"/>
        <v>-185.02999999999884</v>
      </c>
      <c r="O161" t="s">
        <v>23</v>
      </c>
      <c r="P161" t="s">
        <v>24</v>
      </c>
      <c r="Q161" t="s">
        <v>25</v>
      </c>
    </row>
    <row r="162" spans="1:17" x14ac:dyDescent="0.3">
      <c r="A162" t="s">
        <v>240</v>
      </c>
      <c r="B162" s="1">
        <v>45309</v>
      </c>
      <c r="C162" t="s">
        <v>34</v>
      </c>
      <c r="D162" t="s">
        <v>19</v>
      </c>
      <c r="E162" t="s">
        <v>104</v>
      </c>
      <c r="F162" t="s">
        <v>29</v>
      </c>
      <c r="G162" t="s">
        <v>30</v>
      </c>
      <c r="H162">
        <v>1200</v>
      </c>
      <c r="I162">
        <v>1</v>
      </c>
      <c r="J162">
        <v>10</v>
      </c>
      <c r="K162">
        <v>25</v>
      </c>
      <c r="L162">
        <v>1080</v>
      </c>
      <c r="M162">
        <v>1099.1500000000001</v>
      </c>
      <c r="N162">
        <f t="shared" si="3"/>
        <v>-19.150000000000091</v>
      </c>
      <c r="O162" t="s">
        <v>38</v>
      </c>
      <c r="P162" t="s">
        <v>24</v>
      </c>
      <c r="Q162" t="s">
        <v>39</v>
      </c>
    </row>
    <row r="163" spans="1:17" x14ac:dyDescent="0.3">
      <c r="A163" t="s">
        <v>241</v>
      </c>
      <c r="B163" s="1">
        <v>45301</v>
      </c>
      <c r="C163" t="s">
        <v>53</v>
      </c>
      <c r="D163" t="s">
        <v>35</v>
      </c>
      <c r="E163" t="s">
        <v>20</v>
      </c>
      <c r="F163" t="s">
        <v>21</v>
      </c>
      <c r="G163" t="s">
        <v>22</v>
      </c>
      <c r="H163">
        <v>6000</v>
      </c>
      <c r="I163">
        <v>9</v>
      </c>
      <c r="J163">
        <v>15</v>
      </c>
      <c r="K163">
        <v>10</v>
      </c>
      <c r="L163">
        <v>45900</v>
      </c>
      <c r="M163">
        <v>44362.75</v>
      </c>
      <c r="N163">
        <f t="shared" si="3"/>
        <v>1537.25</v>
      </c>
      <c r="O163" t="s">
        <v>23</v>
      </c>
      <c r="P163" t="s">
        <v>31</v>
      </c>
      <c r="Q163" t="s">
        <v>32</v>
      </c>
    </row>
    <row r="164" spans="1:17" x14ac:dyDescent="0.3">
      <c r="A164" t="s">
        <v>242</v>
      </c>
      <c r="B164" s="1">
        <v>45335</v>
      </c>
      <c r="C164" t="s">
        <v>34</v>
      </c>
      <c r="D164" t="s">
        <v>27</v>
      </c>
      <c r="E164" t="s">
        <v>167</v>
      </c>
      <c r="F164" t="s">
        <v>21</v>
      </c>
      <c r="G164" t="s">
        <v>82</v>
      </c>
      <c r="H164">
        <v>7000</v>
      </c>
      <c r="I164">
        <v>6</v>
      </c>
      <c r="J164">
        <v>5</v>
      </c>
      <c r="K164">
        <v>20</v>
      </c>
      <c r="L164">
        <v>39900</v>
      </c>
      <c r="M164">
        <v>37472.660000000003</v>
      </c>
      <c r="N164">
        <f t="shared" si="3"/>
        <v>2427.3399999999965</v>
      </c>
      <c r="O164" t="s">
        <v>38</v>
      </c>
      <c r="P164" t="s">
        <v>31</v>
      </c>
      <c r="Q164" t="s">
        <v>39</v>
      </c>
    </row>
    <row r="165" spans="1:17" x14ac:dyDescent="0.3">
      <c r="A165" t="s">
        <v>243</v>
      </c>
      <c r="B165" s="1">
        <v>45344</v>
      </c>
      <c r="C165" t="s">
        <v>49</v>
      </c>
      <c r="D165" t="s">
        <v>19</v>
      </c>
      <c r="E165" t="s">
        <v>67</v>
      </c>
      <c r="F165" t="s">
        <v>29</v>
      </c>
      <c r="G165" t="s">
        <v>68</v>
      </c>
      <c r="H165">
        <v>1200</v>
      </c>
      <c r="I165">
        <v>9</v>
      </c>
      <c r="J165">
        <v>5</v>
      </c>
      <c r="K165">
        <v>25</v>
      </c>
      <c r="L165">
        <v>10260</v>
      </c>
      <c r="M165">
        <v>10147.56</v>
      </c>
      <c r="N165">
        <f t="shared" si="3"/>
        <v>112.44000000000051</v>
      </c>
      <c r="O165" t="s">
        <v>38</v>
      </c>
      <c r="P165" t="s">
        <v>31</v>
      </c>
      <c r="Q165" t="s">
        <v>39</v>
      </c>
    </row>
    <row r="166" spans="1:17" x14ac:dyDescent="0.3">
      <c r="A166" t="s">
        <v>244</v>
      </c>
      <c r="B166" s="1">
        <v>45292</v>
      </c>
      <c r="C166" t="s">
        <v>18</v>
      </c>
      <c r="D166" t="s">
        <v>19</v>
      </c>
      <c r="E166" t="s">
        <v>81</v>
      </c>
      <c r="F166" t="s">
        <v>21</v>
      </c>
      <c r="G166" t="s">
        <v>82</v>
      </c>
      <c r="H166">
        <v>8000</v>
      </c>
      <c r="I166">
        <v>3</v>
      </c>
      <c r="J166">
        <v>5</v>
      </c>
      <c r="K166">
        <v>10</v>
      </c>
      <c r="L166">
        <v>22800</v>
      </c>
      <c r="M166">
        <v>23890.93</v>
      </c>
      <c r="N166">
        <f t="shared" si="3"/>
        <v>-1090.9300000000003</v>
      </c>
      <c r="O166" t="s">
        <v>38</v>
      </c>
      <c r="P166" t="s">
        <v>24</v>
      </c>
      <c r="Q166" t="s">
        <v>39</v>
      </c>
    </row>
    <row r="167" spans="1:17" x14ac:dyDescent="0.3">
      <c r="A167" t="s">
        <v>245</v>
      </c>
      <c r="B167" s="1">
        <v>45409</v>
      </c>
      <c r="C167" t="s">
        <v>18</v>
      </c>
      <c r="D167" t="s">
        <v>19</v>
      </c>
      <c r="E167" t="s">
        <v>45</v>
      </c>
      <c r="F167" t="s">
        <v>46</v>
      </c>
      <c r="G167" t="s">
        <v>47</v>
      </c>
      <c r="H167">
        <v>15000</v>
      </c>
      <c r="I167">
        <v>6</v>
      </c>
      <c r="J167">
        <v>10</v>
      </c>
      <c r="K167">
        <v>25</v>
      </c>
      <c r="L167">
        <v>81000</v>
      </c>
      <c r="M167">
        <v>81909.2</v>
      </c>
      <c r="N167">
        <f t="shared" si="3"/>
        <v>-909.19999999999709</v>
      </c>
      <c r="O167" t="s">
        <v>38</v>
      </c>
      <c r="P167" t="s">
        <v>24</v>
      </c>
      <c r="Q167" t="s">
        <v>39</v>
      </c>
    </row>
    <row r="168" spans="1:17" x14ac:dyDescent="0.3">
      <c r="A168" t="s">
        <v>246</v>
      </c>
      <c r="B168" s="1">
        <v>45442</v>
      </c>
      <c r="C168" t="s">
        <v>18</v>
      </c>
      <c r="D168" t="s">
        <v>41</v>
      </c>
      <c r="E168" t="s">
        <v>167</v>
      </c>
      <c r="F168" t="s">
        <v>21</v>
      </c>
      <c r="G168" t="s">
        <v>82</v>
      </c>
      <c r="H168">
        <v>7000</v>
      </c>
      <c r="I168">
        <v>15</v>
      </c>
      <c r="J168">
        <v>10</v>
      </c>
      <c r="K168">
        <v>20</v>
      </c>
      <c r="L168">
        <v>94500</v>
      </c>
      <c r="M168">
        <v>82631.64</v>
      </c>
      <c r="N168">
        <f t="shared" si="3"/>
        <v>11868.36</v>
      </c>
      <c r="O168" t="s">
        <v>38</v>
      </c>
      <c r="P168" t="s">
        <v>31</v>
      </c>
      <c r="Q168" t="s">
        <v>39</v>
      </c>
    </row>
    <row r="169" spans="1:17" x14ac:dyDescent="0.3">
      <c r="A169" t="s">
        <v>247</v>
      </c>
      <c r="B169" s="1">
        <v>45315</v>
      </c>
      <c r="C169" t="s">
        <v>34</v>
      </c>
      <c r="D169" t="s">
        <v>70</v>
      </c>
      <c r="E169" t="s">
        <v>155</v>
      </c>
      <c r="F169" t="s">
        <v>21</v>
      </c>
      <c r="G169" t="s">
        <v>72</v>
      </c>
      <c r="H169">
        <v>35000</v>
      </c>
      <c r="I169">
        <v>6</v>
      </c>
      <c r="J169">
        <v>5</v>
      </c>
      <c r="K169">
        <v>0</v>
      </c>
      <c r="L169">
        <v>199500</v>
      </c>
      <c r="M169">
        <v>191654.35</v>
      </c>
      <c r="N169">
        <f t="shared" si="3"/>
        <v>7845.6499999999942</v>
      </c>
      <c r="O169" t="s">
        <v>23</v>
      </c>
      <c r="P169" t="s">
        <v>31</v>
      </c>
      <c r="Q169" t="s">
        <v>32</v>
      </c>
    </row>
    <row r="170" spans="1:17" x14ac:dyDescent="0.3">
      <c r="A170" t="s">
        <v>248</v>
      </c>
      <c r="B170" s="1">
        <v>45463</v>
      </c>
      <c r="C170" t="s">
        <v>49</v>
      </c>
      <c r="D170" t="s">
        <v>19</v>
      </c>
      <c r="E170" t="s">
        <v>81</v>
      </c>
      <c r="F170" t="s">
        <v>21</v>
      </c>
      <c r="G170" t="s">
        <v>82</v>
      </c>
      <c r="H170">
        <v>8000</v>
      </c>
      <c r="I170">
        <v>12</v>
      </c>
      <c r="J170">
        <v>5</v>
      </c>
      <c r="K170">
        <v>25</v>
      </c>
      <c r="L170">
        <v>91200</v>
      </c>
      <c r="M170">
        <v>89200.76</v>
      </c>
      <c r="N170">
        <f t="shared" si="3"/>
        <v>1999.2400000000052</v>
      </c>
      <c r="O170" t="s">
        <v>38</v>
      </c>
      <c r="P170" t="s">
        <v>31</v>
      </c>
      <c r="Q170" t="s">
        <v>39</v>
      </c>
    </row>
    <row r="171" spans="1:17" x14ac:dyDescent="0.3">
      <c r="A171" t="s">
        <v>249</v>
      </c>
      <c r="B171" s="1">
        <v>45308</v>
      </c>
      <c r="C171" t="s">
        <v>34</v>
      </c>
      <c r="D171" t="s">
        <v>41</v>
      </c>
      <c r="E171" t="s">
        <v>54</v>
      </c>
      <c r="F171" t="s">
        <v>46</v>
      </c>
      <c r="G171" t="s">
        <v>55</v>
      </c>
      <c r="H171">
        <v>4500</v>
      </c>
      <c r="I171">
        <v>8</v>
      </c>
      <c r="J171">
        <v>10</v>
      </c>
      <c r="K171">
        <v>5</v>
      </c>
      <c r="L171">
        <v>32400</v>
      </c>
      <c r="M171">
        <v>28346.400000000001</v>
      </c>
      <c r="N171">
        <f t="shared" si="3"/>
        <v>4053.5999999999985</v>
      </c>
      <c r="O171" t="s">
        <v>23</v>
      </c>
      <c r="P171" t="s">
        <v>31</v>
      </c>
      <c r="Q171" t="s">
        <v>32</v>
      </c>
    </row>
    <row r="172" spans="1:17" x14ac:dyDescent="0.3">
      <c r="A172" t="s">
        <v>250</v>
      </c>
      <c r="B172" s="1">
        <v>45421</v>
      </c>
      <c r="C172" t="s">
        <v>18</v>
      </c>
      <c r="D172" t="s">
        <v>19</v>
      </c>
      <c r="E172" t="s">
        <v>104</v>
      </c>
      <c r="F172" t="s">
        <v>29</v>
      </c>
      <c r="G172" t="s">
        <v>30</v>
      </c>
      <c r="H172">
        <v>1200</v>
      </c>
      <c r="I172">
        <v>7</v>
      </c>
      <c r="J172">
        <v>5</v>
      </c>
      <c r="K172">
        <v>15</v>
      </c>
      <c r="L172">
        <v>7980</v>
      </c>
      <c r="M172">
        <v>8337.11</v>
      </c>
      <c r="N172">
        <f t="shared" si="3"/>
        <v>-357.11000000000058</v>
      </c>
      <c r="O172" t="s">
        <v>38</v>
      </c>
      <c r="P172" t="s">
        <v>24</v>
      </c>
      <c r="Q172" t="s">
        <v>39</v>
      </c>
    </row>
    <row r="173" spans="1:17" x14ac:dyDescent="0.3">
      <c r="A173" t="s">
        <v>251</v>
      </c>
      <c r="B173" s="1">
        <v>45317</v>
      </c>
      <c r="C173" t="s">
        <v>49</v>
      </c>
      <c r="D173" t="s">
        <v>92</v>
      </c>
      <c r="E173" t="s">
        <v>100</v>
      </c>
      <c r="F173" t="s">
        <v>46</v>
      </c>
      <c r="G173" t="s">
        <v>55</v>
      </c>
      <c r="H173">
        <v>2500</v>
      </c>
      <c r="I173">
        <v>7</v>
      </c>
      <c r="J173">
        <v>5</v>
      </c>
      <c r="K173">
        <v>15</v>
      </c>
      <c r="L173">
        <v>16625</v>
      </c>
      <c r="M173">
        <v>14787.96</v>
      </c>
      <c r="N173">
        <f t="shared" si="3"/>
        <v>1837.0400000000009</v>
      </c>
      <c r="O173" t="s">
        <v>38</v>
      </c>
      <c r="P173" t="s">
        <v>31</v>
      </c>
      <c r="Q173" t="s">
        <v>39</v>
      </c>
    </row>
    <row r="174" spans="1:17" x14ac:dyDescent="0.3">
      <c r="A174" t="s">
        <v>252</v>
      </c>
      <c r="B174" s="1">
        <v>45442</v>
      </c>
      <c r="C174" t="s">
        <v>18</v>
      </c>
      <c r="D174" t="s">
        <v>19</v>
      </c>
      <c r="E174" t="s">
        <v>129</v>
      </c>
      <c r="F174" t="s">
        <v>21</v>
      </c>
      <c r="G174" t="s">
        <v>82</v>
      </c>
      <c r="H174">
        <v>3500</v>
      </c>
      <c r="I174">
        <v>12</v>
      </c>
      <c r="J174">
        <v>5</v>
      </c>
      <c r="K174">
        <v>5</v>
      </c>
      <c r="L174">
        <v>39900</v>
      </c>
      <c r="M174">
        <v>39936.97</v>
      </c>
      <c r="N174">
        <f t="shared" si="3"/>
        <v>-36.970000000001164</v>
      </c>
      <c r="O174" t="s">
        <v>23</v>
      </c>
      <c r="P174" t="s">
        <v>24</v>
      </c>
      <c r="Q174" t="s">
        <v>25</v>
      </c>
    </row>
    <row r="175" spans="1:17" x14ac:dyDescent="0.3">
      <c r="A175" t="s">
        <v>253</v>
      </c>
      <c r="B175" s="1">
        <v>45468</v>
      </c>
      <c r="C175" t="s">
        <v>18</v>
      </c>
      <c r="D175" t="s">
        <v>70</v>
      </c>
      <c r="E175" t="s">
        <v>107</v>
      </c>
      <c r="F175" t="s">
        <v>108</v>
      </c>
      <c r="G175" t="s">
        <v>109</v>
      </c>
      <c r="H175">
        <v>18000</v>
      </c>
      <c r="I175">
        <v>5</v>
      </c>
      <c r="J175">
        <v>5</v>
      </c>
      <c r="K175">
        <v>5</v>
      </c>
      <c r="L175">
        <v>85500</v>
      </c>
      <c r="M175">
        <v>72998.14</v>
      </c>
      <c r="N175">
        <f t="shared" si="3"/>
        <v>12501.86</v>
      </c>
      <c r="O175" t="s">
        <v>23</v>
      </c>
      <c r="P175" t="s">
        <v>31</v>
      </c>
      <c r="Q175" t="s">
        <v>32</v>
      </c>
    </row>
    <row r="176" spans="1:17" x14ac:dyDescent="0.3">
      <c r="A176" t="s">
        <v>254</v>
      </c>
      <c r="B176" s="1">
        <v>45386</v>
      </c>
      <c r="C176" t="s">
        <v>53</v>
      </c>
      <c r="D176" t="s">
        <v>27</v>
      </c>
      <c r="E176" t="s">
        <v>167</v>
      </c>
      <c r="F176" t="s">
        <v>21</v>
      </c>
      <c r="G176" t="s">
        <v>82</v>
      </c>
      <c r="H176">
        <v>7000</v>
      </c>
      <c r="I176">
        <v>11</v>
      </c>
      <c r="J176">
        <v>5</v>
      </c>
      <c r="K176">
        <v>20</v>
      </c>
      <c r="L176">
        <v>73150</v>
      </c>
      <c r="M176">
        <v>69416.23</v>
      </c>
      <c r="N176">
        <f t="shared" si="3"/>
        <v>3733.7700000000041</v>
      </c>
      <c r="O176" t="s">
        <v>38</v>
      </c>
      <c r="P176" t="s">
        <v>31</v>
      </c>
      <c r="Q176" t="s">
        <v>39</v>
      </c>
    </row>
    <row r="177" spans="1:17" x14ac:dyDescent="0.3">
      <c r="A177" t="s">
        <v>255</v>
      </c>
      <c r="B177" s="1">
        <v>45331</v>
      </c>
      <c r="C177" t="s">
        <v>53</v>
      </c>
      <c r="D177" t="s">
        <v>35</v>
      </c>
      <c r="E177" t="s">
        <v>50</v>
      </c>
      <c r="F177" t="s">
        <v>21</v>
      </c>
      <c r="G177" t="s">
        <v>51</v>
      </c>
      <c r="H177">
        <v>4500</v>
      </c>
      <c r="I177">
        <v>14</v>
      </c>
      <c r="J177">
        <v>15</v>
      </c>
      <c r="K177">
        <v>25</v>
      </c>
      <c r="L177">
        <v>53550</v>
      </c>
      <c r="M177">
        <v>53324.46</v>
      </c>
      <c r="N177">
        <f t="shared" si="3"/>
        <v>225.54000000000087</v>
      </c>
      <c r="O177" t="s">
        <v>38</v>
      </c>
      <c r="P177" t="s">
        <v>31</v>
      </c>
      <c r="Q177" t="s">
        <v>39</v>
      </c>
    </row>
    <row r="178" spans="1:17" x14ac:dyDescent="0.3">
      <c r="A178" t="s">
        <v>256</v>
      </c>
      <c r="B178" s="1">
        <v>45325</v>
      </c>
      <c r="C178" t="s">
        <v>34</v>
      </c>
      <c r="D178" t="s">
        <v>35</v>
      </c>
      <c r="E178" t="s">
        <v>20</v>
      </c>
      <c r="F178" t="s">
        <v>21</v>
      </c>
      <c r="G178" t="s">
        <v>22</v>
      </c>
      <c r="H178">
        <v>6000</v>
      </c>
      <c r="I178">
        <v>3</v>
      </c>
      <c r="J178">
        <v>10</v>
      </c>
      <c r="K178">
        <v>25</v>
      </c>
      <c r="L178">
        <v>16200</v>
      </c>
      <c r="M178">
        <v>14465.12</v>
      </c>
      <c r="N178">
        <f t="shared" si="3"/>
        <v>1734.8799999999992</v>
      </c>
      <c r="O178" t="s">
        <v>38</v>
      </c>
      <c r="P178" t="s">
        <v>31</v>
      </c>
      <c r="Q178" t="s">
        <v>39</v>
      </c>
    </row>
    <row r="179" spans="1:17" x14ac:dyDescent="0.3">
      <c r="A179" t="s">
        <v>257</v>
      </c>
      <c r="B179" s="1">
        <v>45407</v>
      </c>
      <c r="C179" t="s">
        <v>53</v>
      </c>
      <c r="D179" t="s">
        <v>19</v>
      </c>
      <c r="E179" t="s">
        <v>45</v>
      </c>
      <c r="F179" t="s">
        <v>46</v>
      </c>
      <c r="G179" t="s">
        <v>47</v>
      </c>
      <c r="H179">
        <v>15000</v>
      </c>
      <c r="I179">
        <v>8</v>
      </c>
      <c r="J179">
        <v>10</v>
      </c>
      <c r="K179">
        <v>0</v>
      </c>
      <c r="L179">
        <v>108000</v>
      </c>
      <c r="M179">
        <v>94979.59</v>
      </c>
      <c r="N179">
        <f t="shared" si="3"/>
        <v>13020.410000000003</v>
      </c>
      <c r="O179" t="s">
        <v>23</v>
      </c>
      <c r="P179" t="s">
        <v>31</v>
      </c>
      <c r="Q179" t="s">
        <v>32</v>
      </c>
    </row>
    <row r="180" spans="1:17" x14ac:dyDescent="0.3">
      <c r="A180" t="s">
        <v>258</v>
      </c>
      <c r="B180" s="1">
        <v>45324</v>
      </c>
      <c r="C180" t="s">
        <v>18</v>
      </c>
      <c r="D180" t="s">
        <v>92</v>
      </c>
      <c r="E180" t="s">
        <v>129</v>
      </c>
      <c r="F180" t="s">
        <v>21</v>
      </c>
      <c r="G180" t="s">
        <v>82</v>
      </c>
      <c r="H180">
        <v>3500</v>
      </c>
      <c r="I180">
        <v>15</v>
      </c>
      <c r="J180">
        <v>5</v>
      </c>
      <c r="K180">
        <v>5</v>
      </c>
      <c r="L180">
        <v>49875</v>
      </c>
      <c r="M180">
        <v>44811.57</v>
      </c>
      <c r="N180">
        <f t="shared" si="3"/>
        <v>5063.43</v>
      </c>
      <c r="O180" t="s">
        <v>23</v>
      </c>
      <c r="P180" t="s">
        <v>31</v>
      </c>
      <c r="Q180" t="s">
        <v>32</v>
      </c>
    </row>
    <row r="181" spans="1:17" x14ac:dyDescent="0.3">
      <c r="A181" t="s">
        <v>259</v>
      </c>
      <c r="B181" s="1">
        <v>45444</v>
      </c>
      <c r="C181" t="s">
        <v>53</v>
      </c>
      <c r="D181" t="s">
        <v>41</v>
      </c>
      <c r="E181" t="s">
        <v>155</v>
      </c>
      <c r="F181" t="s">
        <v>21</v>
      </c>
      <c r="G181" t="s">
        <v>72</v>
      </c>
      <c r="H181">
        <v>35000</v>
      </c>
      <c r="I181">
        <v>10</v>
      </c>
      <c r="J181">
        <v>15</v>
      </c>
      <c r="K181">
        <v>20</v>
      </c>
      <c r="L181">
        <v>297500</v>
      </c>
      <c r="M181">
        <v>275366.36</v>
      </c>
      <c r="N181">
        <f t="shared" si="3"/>
        <v>22133.640000000014</v>
      </c>
      <c r="O181" t="s">
        <v>38</v>
      </c>
      <c r="P181" t="s">
        <v>31</v>
      </c>
      <c r="Q181" t="s">
        <v>39</v>
      </c>
    </row>
    <row r="182" spans="1:17" x14ac:dyDescent="0.3">
      <c r="A182" t="s">
        <v>260</v>
      </c>
      <c r="B182" s="1">
        <v>45420</v>
      </c>
      <c r="C182" t="s">
        <v>53</v>
      </c>
      <c r="D182" t="s">
        <v>35</v>
      </c>
      <c r="E182" t="s">
        <v>36</v>
      </c>
      <c r="F182" t="s">
        <v>29</v>
      </c>
      <c r="G182" t="s">
        <v>37</v>
      </c>
      <c r="H182">
        <v>1200</v>
      </c>
      <c r="I182">
        <v>12</v>
      </c>
      <c r="J182">
        <v>15</v>
      </c>
      <c r="K182">
        <v>25</v>
      </c>
      <c r="L182">
        <v>12240</v>
      </c>
      <c r="M182">
        <v>11614.34</v>
      </c>
      <c r="N182">
        <f t="shared" si="3"/>
        <v>625.65999999999985</v>
      </c>
      <c r="O182" t="s">
        <v>38</v>
      </c>
      <c r="P182" t="s">
        <v>31</v>
      </c>
      <c r="Q182" t="s">
        <v>39</v>
      </c>
    </row>
    <row r="183" spans="1:17" x14ac:dyDescent="0.3">
      <c r="A183" t="s">
        <v>261</v>
      </c>
      <c r="B183" s="1">
        <v>45376</v>
      </c>
      <c r="C183" t="s">
        <v>34</v>
      </c>
      <c r="D183" t="s">
        <v>92</v>
      </c>
      <c r="E183" t="s">
        <v>54</v>
      </c>
      <c r="F183" t="s">
        <v>46</v>
      </c>
      <c r="G183" t="s">
        <v>55</v>
      </c>
      <c r="H183">
        <v>4500</v>
      </c>
      <c r="I183">
        <v>6</v>
      </c>
      <c r="J183">
        <v>15</v>
      </c>
      <c r="K183">
        <v>10</v>
      </c>
      <c r="L183">
        <v>22950</v>
      </c>
      <c r="M183">
        <v>21033.99</v>
      </c>
      <c r="N183">
        <f t="shared" si="3"/>
        <v>1916.0099999999984</v>
      </c>
      <c r="O183" t="s">
        <v>23</v>
      </c>
      <c r="P183" t="s">
        <v>31</v>
      </c>
      <c r="Q183" t="s">
        <v>32</v>
      </c>
    </row>
    <row r="184" spans="1:17" x14ac:dyDescent="0.3">
      <c r="A184" t="s">
        <v>262</v>
      </c>
      <c r="B184" s="1">
        <v>45368</v>
      </c>
      <c r="C184" t="s">
        <v>53</v>
      </c>
      <c r="D184" t="s">
        <v>35</v>
      </c>
      <c r="E184" t="s">
        <v>167</v>
      </c>
      <c r="F184" t="s">
        <v>21</v>
      </c>
      <c r="G184" t="s">
        <v>82</v>
      </c>
      <c r="H184">
        <v>7000</v>
      </c>
      <c r="I184">
        <v>4</v>
      </c>
      <c r="J184">
        <v>10</v>
      </c>
      <c r="K184">
        <v>10</v>
      </c>
      <c r="L184">
        <v>25200</v>
      </c>
      <c r="M184">
        <v>22410.98</v>
      </c>
      <c r="N184">
        <f t="shared" si="3"/>
        <v>2789.0200000000004</v>
      </c>
      <c r="O184" t="s">
        <v>23</v>
      </c>
      <c r="P184" t="s">
        <v>31</v>
      </c>
      <c r="Q184" t="s">
        <v>32</v>
      </c>
    </row>
    <row r="185" spans="1:17" x14ac:dyDescent="0.3">
      <c r="A185" t="s">
        <v>263</v>
      </c>
      <c r="B185" s="1">
        <v>45472</v>
      </c>
      <c r="C185" t="s">
        <v>18</v>
      </c>
      <c r="D185" t="s">
        <v>70</v>
      </c>
      <c r="E185" t="s">
        <v>129</v>
      </c>
      <c r="F185" t="s">
        <v>21</v>
      </c>
      <c r="G185" t="s">
        <v>82</v>
      </c>
      <c r="H185">
        <v>3500</v>
      </c>
      <c r="I185">
        <v>4</v>
      </c>
      <c r="J185">
        <v>15</v>
      </c>
      <c r="K185">
        <v>15</v>
      </c>
      <c r="L185">
        <v>11900</v>
      </c>
      <c r="M185">
        <v>10988.18</v>
      </c>
      <c r="N185">
        <f t="shared" si="3"/>
        <v>911.81999999999971</v>
      </c>
      <c r="O185" t="s">
        <v>23</v>
      </c>
      <c r="P185" t="s">
        <v>31</v>
      </c>
      <c r="Q185" t="s">
        <v>32</v>
      </c>
    </row>
    <row r="186" spans="1:17" x14ac:dyDescent="0.3">
      <c r="A186" t="s">
        <v>264</v>
      </c>
      <c r="B186" s="1">
        <v>45320</v>
      </c>
      <c r="C186" t="s">
        <v>34</v>
      </c>
      <c r="D186" t="s">
        <v>19</v>
      </c>
      <c r="E186" t="s">
        <v>90</v>
      </c>
      <c r="F186" t="s">
        <v>29</v>
      </c>
      <c r="G186" t="s">
        <v>37</v>
      </c>
      <c r="H186">
        <v>6500</v>
      </c>
      <c r="I186">
        <v>14</v>
      </c>
      <c r="J186">
        <v>15</v>
      </c>
      <c r="K186">
        <v>0</v>
      </c>
      <c r="L186">
        <v>77350</v>
      </c>
      <c r="M186">
        <v>67126.91</v>
      </c>
      <c r="N186">
        <f t="shared" si="3"/>
        <v>10223.089999999997</v>
      </c>
      <c r="O186" t="s">
        <v>23</v>
      </c>
      <c r="P186" t="s">
        <v>31</v>
      </c>
      <c r="Q186" t="s">
        <v>32</v>
      </c>
    </row>
    <row r="187" spans="1:17" x14ac:dyDescent="0.3">
      <c r="A187" t="s">
        <v>265</v>
      </c>
      <c r="B187" s="1">
        <v>45299</v>
      </c>
      <c r="C187" t="s">
        <v>34</v>
      </c>
      <c r="D187" t="s">
        <v>41</v>
      </c>
      <c r="E187" t="s">
        <v>50</v>
      </c>
      <c r="F187" t="s">
        <v>21</v>
      </c>
      <c r="G187" t="s">
        <v>51</v>
      </c>
      <c r="H187">
        <v>4500</v>
      </c>
      <c r="I187">
        <v>2</v>
      </c>
      <c r="J187">
        <v>15</v>
      </c>
      <c r="K187">
        <v>15</v>
      </c>
      <c r="L187">
        <v>7650</v>
      </c>
      <c r="M187">
        <v>7417.07</v>
      </c>
      <c r="N187">
        <f t="shared" si="3"/>
        <v>232.93000000000029</v>
      </c>
      <c r="O187" t="s">
        <v>23</v>
      </c>
      <c r="P187" t="s">
        <v>31</v>
      </c>
      <c r="Q187" t="s">
        <v>32</v>
      </c>
    </row>
    <row r="188" spans="1:17" x14ac:dyDescent="0.3">
      <c r="A188" t="s">
        <v>266</v>
      </c>
      <c r="B188" s="1">
        <v>45369</v>
      </c>
      <c r="C188" t="s">
        <v>53</v>
      </c>
      <c r="D188" t="s">
        <v>41</v>
      </c>
      <c r="E188" t="s">
        <v>45</v>
      </c>
      <c r="F188" t="s">
        <v>46</v>
      </c>
      <c r="G188" t="s">
        <v>47</v>
      </c>
      <c r="H188">
        <v>15000</v>
      </c>
      <c r="I188">
        <v>11</v>
      </c>
      <c r="J188">
        <v>10</v>
      </c>
      <c r="K188">
        <v>10</v>
      </c>
      <c r="L188">
        <v>148500</v>
      </c>
      <c r="M188">
        <v>130235.29</v>
      </c>
      <c r="N188">
        <f t="shared" si="3"/>
        <v>18264.710000000006</v>
      </c>
      <c r="O188" t="s">
        <v>23</v>
      </c>
      <c r="P188" t="s">
        <v>31</v>
      </c>
      <c r="Q188" t="s">
        <v>32</v>
      </c>
    </row>
    <row r="189" spans="1:17" x14ac:dyDescent="0.3">
      <c r="A189" t="s">
        <v>267</v>
      </c>
      <c r="B189" s="1">
        <v>45326</v>
      </c>
      <c r="C189" t="s">
        <v>18</v>
      </c>
      <c r="D189" t="s">
        <v>19</v>
      </c>
      <c r="E189" t="s">
        <v>57</v>
      </c>
      <c r="F189" t="s">
        <v>46</v>
      </c>
      <c r="G189" t="s">
        <v>58</v>
      </c>
      <c r="H189">
        <v>18000</v>
      </c>
      <c r="I189">
        <v>2</v>
      </c>
      <c r="J189">
        <v>15</v>
      </c>
      <c r="K189">
        <v>5</v>
      </c>
      <c r="L189">
        <v>30600</v>
      </c>
      <c r="M189">
        <v>27561.4</v>
      </c>
      <c r="N189">
        <f t="shared" si="3"/>
        <v>3038.5999999999985</v>
      </c>
      <c r="O189" t="s">
        <v>23</v>
      </c>
      <c r="P189" t="s">
        <v>31</v>
      </c>
      <c r="Q189" t="s">
        <v>32</v>
      </c>
    </row>
    <row r="190" spans="1:17" x14ac:dyDescent="0.3">
      <c r="A190" t="s">
        <v>268</v>
      </c>
      <c r="B190" s="1">
        <v>45456</v>
      </c>
      <c r="C190" t="s">
        <v>18</v>
      </c>
      <c r="D190" t="s">
        <v>41</v>
      </c>
      <c r="E190" t="s">
        <v>36</v>
      </c>
      <c r="F190" t="s">
        <v>29</v>
      </c>
      <c r="G190" t="s">
        <v>37</v>
      </c>
      <c r="H190">
        <v>1200</v>
      </c>
      <c r="I190">
        <v>8</v>
      </c>
      <c r="J190">
        <v>15</v>
      </c>
      <c r="K190">
        <v>0</v>
      </c>
      <c r="L190">
        <v>8160</v>
      </c>
      <c r="M190">
        <v>7827.45</v>
      </c>
      <c r="N190">
        <f t="shared" si="3"/>
        <v>332.55000000000018</v>
      </c>
      <c r="O190" t="s">
        <v>23</v>
      </c>
      <c r="P190" t="s">
        <v>31</v>
      </c>
      <c r="Q190" t="s">
        <v>32</v>
      </c>
    </row>
    <row r="191" spans="1:17" x14ac:dyDescent="0.3">
      <c r="A191" t="s">
        <v>269</v>
      </c>
      <c r="B191" s="1">
        <v>45416</v>
      </c>
      <c r="C191" t="s">
        <v>18</v>
      </c>
      <c r="D191" t="s">
        <v>41</v>
      </c>
      <c r="E191" t="s">
        <v>167</v>
      </c>
      <c r="F191" t="s">
        <v>21</v>
      </c>
      <c r="G191" t="s">
        <v>82</v>
      </c>
      <c r="H191">
        <v>7000</v>
      </c>
      <c r="I191">
        <v>15</v>
      </c>
      <c r="J191">
        <v>5</v>
      </c>
      <c r="K191">
        <v>25</v>
      </c>
      <c r="L191">
        <v>99750</v>
      </c>
      <c r="M191">
        <v>88294.26</v>
      </c>
      <c r="N191">
        <f t="shared" si="3"/>
        <v>11455.740000000005</v>
      </c>
      <c r="O191" t="s">
        <v>38</v>
      </c>
      <c r="P191" t="s">
        <v>31</v>
      </c>
      <c r="Q191" t="s">
        <v>39</v>
      </c>
    </row>
    <row r="192" spans="1:17" x14ac:dyDescent="0.3">
      <c r="A192" t="s">
        <v>270</v>
      </c>
      <c r="B192" s="1">
        <v>45400</v>
      </c>
      <c r="C192" t="s">
        <v>53</v>
      </c>
      <c r="D192" t="s">
        <v>70</v>
      </c>
      <c r="E192" t="s">
        <v>57</v>
      </c>
      <c r="F192" t="s">
        <v>46</v>
      </c>
      <c r="G192" t="s">
        <v>58</v>
      </c>
      <c r="H192">
        <v>18000</v>
      </c>
      <c r="I192">
        <v>12</v>
      </c>
      <c r="J192">
        <v>15</v>
      </c>
      <c r="K192">
        <v>25</v>
      </c>
      <c r="L192">
        <v>183600</v>
      </c>
      <c r="M192">
        <v>173542.04</v>
      </c>
      <c r="N192">
        <f t="shared" si="3"/>
        <v>10057.959999999992</v>
      </c>
      <c r="O192" t="s">
        <v>38</v>
      </c>
      <c r="P192" t="s">
        <v>31</v>
      </c>
      <c r="Q192" t="s">
        <v>39</v>
      </c>
    </row>
    <row r="193" spans="1:17" x14ac:dyDescent="0.3">
      <c r="A193" t="s">
        <v>271</v>
      </c>
      <c r="B193" s="1">
        <v>45424</v>
      </c>
      <c r="C193" t="s">
        <v>34</v>
      </c>
      <c r="D193" t="s">
        <v>19</v>
      </c>
      <c r="E193" t="s">
        <v>28</v>
      </c>
      <c r="F193" t="s">
        <v>29</v>
      </c>
      <c r="G193" t="s">
        <v>30</v>
      </c>
      <c r="H193">
        <v>1800</v>
      </c>
      <c r="I193">
        <v>1</v>
      </c>
      <c r="J193">
        <v>10</v>
      </c>
      <c r="K193">
        <v>15</v>
      </c>
      <c r="L193">
        <v>1620</v>
      </c>
      <c r="M193">
        <v>1416.03</v>
      </c>
      <c r="N193">
        <f t="shared" si="3"/>
        <v>203.97000000000003</v>
      </c>
      <c r="O193" t="s">
        <v>38</v>
      </c>
      <c r="P193" t="s">
        <v>31</v>
      </c>
      <c r="Q193" t="s">
        <v>39</v>
      </c>
    </row>
    <row r="194" spans="1:17" x14ac:dyDescent="0.3">
      <c r="A194" t="s">
        <v>272</v>
      </c>
      <c r="B194" s="1">
        <v>45306</v>
      </c>
      <c r="C194" t="s">
        <v>49</v>
      </c>
      <c r="D194" t="s">
        <v>41</v>
      </c>
      <c r="E194" t="s">
        <v>42</v>
      </c>
      <c r="F194" t="s">
        <v>29</v>
      </c>
      <c r="G194" t="s">
        <v>43</v>
      </c>
      <c r="H194">
        <v>500</v>
      </c>
      <c r="I194">
        <v>1</v>
      </c>
      <c r="J194">
        <v>10</v>
      </c>
      <c r="K194">
        <v>25</v>
      </c>
      <c r="L194">
        <v>450</v>
      </c>
      <c r="M194">
        <v>451.05</v>
      </c>
      <c r="N194">
        <f t="shared" si="3"/>
        <v>-1.0500000000000114</v>
      </c>
      <c r="O194" t="s">
        <v>38</v>
      </c>
      <c r="P194" t="s">
        <v>24</v>
      </c>
      <c r="Q194" t="s">
        <v>39</v>
      </c>
    </row>
    <row r="195" spans="1:17" x14ac:dyDescent="0.3">
      <c r="A195" t="s">
        <v>273</v>
      </c>
      <c r="B195" s="1">
        <v>45372</v>
      </c>
      <c r="C195" t="s">
        <v>34</v>
      </c>
      <c r="D195" t="s">
        <v>70</v>
      </c>
      <c r="E195" t="s">
        <v>42</v>
      </c>
      <c r="F195" t="s">
        <v>29</v>
      </c>
      <c r="G195" t="s">
        <v>43</v>
      </c>
      <c r="H195">
        <v>500</v>
      </c>
      <c r="I195">
        <v>6</v>
      </c>
      <c r="J195">
        <v>5</v>
      </c>
      <c r="K195">
        <v>0</v>
      </c>
      <c r="L195">
        <v>2850</v>
      </c>
      <c r="M195">
        <v>2757.32</v>
      </c>
      <c r="N195">
        <f t="shared" ref="N195:N258" si="4">L195-M195</f>
        <v>92.679999999999836</v>
      </c>
      <c r="O195" t="s">
        <v>23</v>
      </c>
      <c r="P195" t="s">
        <v>31</v>
      </c>
      <c r="Q195" t="s">
        <v>32</v>
      </c>
    </row>
    <row r="196" spans="1:17" x14ac:dyDescent="0.3">
      <c r="A196" t="s">
        <v>274</v>
      </c>
      <c r="B196" s="1">
        <v>45423</v>
      </c>
      <c r="C196" t="s">
        <v>49</v>
      </c>
      <c r="D196" t="s">
        <v>27</v>
      </c>
      <c r="E196" t="s">
        <v>104</v>
      </c>
      <c r="F196" t="s">
        <v>29</v>
      </c>
      <c r="G196" t="s">
        <v>30</v>
      </c>
      <c r="H196">
        <v>1200</v>
      </c>
      <c r="I196">
        <v>1</v>
      </c>
      <c r="J196">
        <v>15</v>
      </c>
      <c r="K196">
        <v>10</v>
      </c>
      <c r="L196">
        <v>1020</v>
      </c>
      <c r="M196">
        <v>970.24</v>
      </c>
      <c r="N196">
        <f t="shared" si="4"/>
        <v>49.759999999999991</v>
      </c>
      <c r="O196" t="s">
        <v>23</v>
      </c>
      <c r="P196" t="s">
        <v>31</v>
      </c>
      <c r="Q196" t="s">
        <v>32</v>
      </c>
    </row>
    <row r="197" spans="1:17" x14ac:dyDescent="0.3">
      <c r="A197" t="s">
        <v>275</v>
      </c>
      <c r="B197" s="1">
        <v>45306</v>
      </c>
      <c r="C197" t="s">
        <v>18</v>
      </c>
      <c r="D197" t="s">
        <v>41</v>
      </c>
      <c r="E197" t="s">
        <v>100</v>
      </c>
      <c r="F197" t="s">
        <v>46</v>
      </c>
      <c r="G197" t="s">
        <v>55</v>
      </c>
      <c r="H197">
        <v>2500</v>
      </c>
      <c r="I197">
        <v>14</v>
      </c>
      <c r="J197">
        <v>15</v>
      </c>
      <c r="K197">
        <v>15</v>
      </c>
      <c r="L197">
        <v>29750</v>
      </c>
      <c r="M197">
        <v>29110.560000000001</v>
      </c>
      <c r="N197">
        <f t="shared" si="4"/>
        <v>639.43999999999869</v>
      </c>
      <c r="O197" t="s">
        <v>23</v>
      </c>
      <c r="P197" t="s">
        <v>31</v>
      </c>
      <c r="Q197" t="s">
        <v>32</v>
      </c>
    </row>
    <row r="198" spans="1:17" x14ac:dyDescent="0.3">
      <c r="A198" t="s">
        <v>276</v>
      </c>
      <c r="B198" s="1">
        <v>45315</v>
      </c>
      <c r="C198" t="s">
        <v>34</v>
      </c>
      <c r="D198" t="s">
        <v>41</v>
      </c>
      <c r="E198" t="s">
        <v>81</v>
      </c>
      <c r="F198" t="s">
        <v>21</v>
      </c>
      <c r="G198" t="s">
        <v>82</v>
      </c>
      <c r="H198">
        <v>8000</v>
      </c>
      <c r="I198">
        <v>3</v>
      </c>
      <c r="J198">
        <v>10</v>
      </c>
      <c r="K198">
        <v>5</v>
      </c>
      <c r="L198">
        <v>21600</v>
      </c>
      <c r="M198">
        <v>20601.57</v>
      </c>
      <c r="N198">
        <f t="shared" si="4"/>
        <v>998.43000000000029</v>
      </c>
      <c r="O198" t="s">
        <v>23</v>
      </c>
      <c r="P198" t="s">
        <v>31</v>
      </c>
      <c r="Q198" t="s">
        <v>32</v>
      </c>
    </row>
    <row r="199" spans="1:17" x14ac:dyDescent="0.3">
      <c r="A199" t="s">
        <v>277</v>
      </c>
      <c r="B199" s="1">
        <v>45426</v>
      </c>
      <c r="C199" t="s">
        <v>49</v>
      </c>
      <c r="D199" t="s">
        <v>92</v>
      </c>
      <c r="E199" t="s">
        <v>42</v>
      </c>
      <c r="F199" t="s">
        <v>29</v>
      </c>
      <c r="G199" t="s">
        <v>43</v>
      </c>
      <c r="H199">
        <v>500</v>
      </c>
      <c r="I199">
        <v>8</v>
      </c>
      <c r="J199">
        <v>10</v>
      </c>
      <c r="K199">
        <v>25</v>
      </c>
      <c r="L199">
        <v>3600</v>
      </c>
      <c r="M199">
        <v>3146.67</v>
      </c>
      <c r="N199">
        <f t="shared" si="4"/>
        <v>453.32999999999993</v>
      </c>
      <c r="O199" t="s">
        <v>38</v>
      </c>
      <c r="P199" t="s">
        <v>31</v>
      </c>
      <c r="Q199" t="s">
        <v>39</v>
      </c>
    </row>
    <row r="200" spans="1:17" x14ac:dyDescent="0.3">
      <c r="A200" t="s">
        <v>278</v>
      </c>
      <c r="B200" s="1">
        <v>45434</v>
      </c>
      <c r="C200" t="s">
        <v>18</v>
      </c>
      <c r="D200" t="s">
        <v>41</v>
      </c>
      <c r="E200" t="s">
        <v>61</v>
      </c>
      <c r="F200" t="s">
        <v>29</v>
      </c>
      <c r="G200" t="s">
        <v>43</v>
      </c>
      <c r="H200">
        <v>2800</v>
      </c>
      <c r="I200">
        <v>13</v>
      </c>
      <c r="J200">
        <v>5</v>
      </c>
      <c r="K200">
        <v>5</v>
      </c>
      <c r="L200">
        <v>34580</v>
      </c>
      <c r="M200">
        <v>35276.870000000003</v>
      </c>
      <c r="N200">
        <f t="shared" si="4"/>
        <v>-696.87000000000262</v>
      </c>
      <c r="O200" t="s">
        <v>23</v>
      </c>
      <c r="P200" t="s">
        <v>24</v>
      </c>
      <c r="Q200" t="s">
        <v>25</v>
      </c>
    </row>
    <row r="201" spans="1:17" x14ac:dyDescent="0.3">
      <c r="A201" t="s">
        <v>279</v>
      </c>
      <c r="B201" s="1">
        <v>45354</v>
      </c>
      <c r="C201" t="s">
        <v>18</v>
      </c>
      <c r="D201" t="s">
        <v>92</v>
      </c>
      <c r="E201" t="s">
        <v>90</v>
      </c>
      <c r="F201" t="s">
        <v>29</v>
      </c>
      <c r="G201" t="s">
        <v>37</v>
      </c>
      <c r="H201">
        <v>6500</v>
      </c>
      <c r="I201">
        <v>4</v>
      </c>
      <c r="J201">
        <v>5</v>
      </c>
      <c r="K201">
        <v>10</v>
      </c>
      <c r="L201">
        <v>24700</v>
      </c>
      <c r="M201">
        <v>22367.35</v>
      </c>
      <c r="N201">
        <f t="shared" si="4"/>
        <v>2332.6500000000015</v>
      </c>
      <c r="O201" t="s">
        <v>38</v>
      </c>
      <c r="P201" t="s">
        <v>31</v>
      </c>
      <c r="Q201" t="s">
        <v>39</v>
      </c>
    </row>
    <row r="202" spans="1:17" x14ac:dyDescent="0.3">
      <c r="A202" t="s">
        <v>280</v>
      </c>
      <c r="B202" s="1">
        <v>45332</v>
      </c>
      <c r="C202" t="s">
        <v>53</v>
      </c>
      <c r="D202" t="s">
        <v>41</v>
      </c>
      <c r="E202" t="s">
        <v>129</v>
      </c>
      <c r="F202" t="s">
        <v>21</v>
      </c>
      <c r="G202" t="s">
        <v>82</v>
      </c>
      <c r="H202">
        <v>3500</v>
      </c>
      <c r="I202">
        <v>5</v>
      </c>
      <c r="J202">
        <v>15</v>
      </c>
      <c r="K202">
        <v>10</v>
      </c>
      <c r="L202">
        <v>14875</v>
      </c>
      <c r="M202">
        <v>13582.45</v>
      </c>
      <c r="N202">
        <f t="shared" si="4"/>
        <v>1292.5499999999993</v>
      </c>
      <c r="O202" t="s">
        <v>23</v>
      </c>
      <c r="P202" t="s">
        <v>31</v>
      </c>
      <c r="Q202" t="s">
        <v>32</v>
      </c>
    </row>
    <row r="203" spans="1:17" x14ac:dyDescent="0.3">
      <c r="A203" t="s">
        <v>281</v>
      </c>
      <c r="B203" s="1">
        <v>45373</v>
      </c>
      <c r="C203" t="s">
        <v>34</v>
      </c>
      <c r="D203" t="s">
        <v>92</v>
      </c>
      <c r="E203" t="s">
        <v>104</v>
      </c>
      <c r="F203" t="s">
        <v>29</v>
      </c>
      <c r="G203" t="s">
        <v>30</v>
      </c>
      <c r="H203">
        <v>1200</v>
      </c>
      <c r="I203">
        <v>3</v>
      </c>
      <c r="J203">
        <v>5</v>
      </c>
      <c r="K203">
        <v>15</v>
      </c>
      <c r="L203">
        <v>3420</v>
      </c>
      <c r="M203">
        <v>2995.91</v>
      </c>
      <c r="N203">
        <f t="shared" si="4"/>
        <v>424.09000000000015</v>
      </c>
      <c r="O203" t="s">
        <v>38</v>
      </c>
      <c r="P203" t="s">
        <v>31</v>
      </c>
      <c r="Q203" t="s">
        <v>39</v>
      </c>
    </row>
    <row r="204" spans="1:17" x14ac:dyDescent="0.3">
      <c r="A204" t="s">
        <v>282</v>
      </c>
      <c r="B204" s="1">
        <v>45320</v>
      </c>
      <c r="C204" t="s">
        <v>18</v>
      </c>
      <c r="D204" t="s">
        <v>70</v>
      </c>
      <c r="E204" t="s">
        <v>67</v>
      </c>
      <c r="F204" t="s">
        <v>29</v>
      </c>
      <c r="G204" t="s">
        <v>68</v>
      </c>
      <c r="H204">
        <v>1200</v>
      </c>
      <c r="I204">
        <v>3</v>
      </c>
      <c r="J204">
        <v>5</v>
      </c>
      <c r="K204">
        <v>5</v>
      </c>
      <c r="L204">
        <v>3420</v>
      </c>
      <c r="M204">
        <v>3538.3</v>
      </c>
      <c r="N204">
        <f t="shared" si="4"/>
        <v>-118.30000000000018</v>
      </c>
      <c r="O204" t="s">
        <v>23</v>
      </c>
      <c r="P204" t="s">
        <v>24</v>
      </c>
      <c r="Q204" t="s">
        <v>25</v>
      </c>
    </row>
    <row r="205" spans="1:17" x14ac:dyDescent="0.3">
      <c r="A205" t="s">
        <v>283</v>
      </c>
      <c r="B205" s="1">
        <v>45413</v>
      </c>
      <c r="C205" t="s">
        <v>49</v>
      </c>
      <c r="D205" t="s">
        <v>41</v>
      </c>
      <c r="E205" t="s">
        <v>167</v>
      </c>
      <c r="F205" t="s">
        <v>21</v>
      </c>
      <c r="G205" t="s">
        <v>82</v>
      </c>
      <c r="H205">
        <v>7000</v>
      </c>
      <c r="I205">
        <v>2</v>
      </c>
      <c r="J205">
        <v>5</v>
      </c>
      <c r="K205">
        <v>20</v>
      </c>
      <c r="L205">
        <v>13300</v>
      </c>
      <c r="M205">
        <v>12692.26</v>
      </c>
      <c r="N205">
        <f t="shared" si="4"/>
        <v>607.73999999999978</v>
      </c>
      <c r="O205" t="s">
        <v>38</v>
      </c>
      <c r="P205" t="s">
        <v>31</v>
      </c>
      <c r="Q205" t="s">
        <v>39</v>
      </c>
    </row>
    <row r="206" spans="1:17" x14ac:dyDescent="0.3">
      <c r="A206" t="s">
        <v>284</v>
      </c>
      <c r="B206" s="1">
        <v>45463</v>
      </c>
      <c r="C206" t="s">
        <v>34</v>
      </c>
      <c r="D206" t="s">
        <v>92</v>
      </c>
      <c r="E206" t="s">
        <v>20</v>
      </c>
      <c r="F206" t="s">
        <v>21</v>
      </c>
      <c r="G206" t="s">
        <v>22</v>
      </c>
      <c r="H206">
        <v>6000</v>
      </c>
      <c r="I206">
        <v>10</v>
      </c>
      <c r="J206">
        <v>10</v>
      </c>
      <c r="K206">
        <v>15</v>
      </c>
      <c r="L206">
        <v>54000</v>
      </c>
      <c r="M206">
        <v>47959.48</v>
      </c>
      <c r="N206">
        <f t="shared" si="4"/>
        <v>6040.5199999999968</v>
      </c>
      <c r="O206" t="s">
        <v>38</v>
      </c>
      <c r="P206" t="s">
        <v>31</v>
      </c>
      <c r="Q206" t="s">
        <v>39</v>
      </c>
    </row>
    <row r="207" spans="1:17" x14ac:dyDescent="0.3">
      <c r="A207" t="s">
        <v>285</v>
      </c>
      <c r="B207" s="1">
        <v>45337</v>
      </c>
      <c r="C207" t="s">
        <v>34</v>
      </c>
      <c r="D207" t="s">
        <v>70</v>
      </c>
      <c r="E207" t="s">
        <v>67</v>
      </c>
      <c r="F207" t="s">
        <v>29</v>
      </c>
      <c r="G207" t="s">
        <v>68</v>
      </c>
      <c r="H207">
        <v>1200</v>
      </c>
      <c r="I207">
        <v>9</v>
      </c>
      <c r="J207">
        <v>5</v>
      </c>
      <c r="K207">
        <v>25</v>
      </c>
      <c r="L207">
        <v>10260</v>
      </c>
      <c r="M207">
        <v>9246.99</v>
      </c>
      <c r="N207">
        <f t="shared" si="4"/>
        <v>1013.0100000000002</v>
      </c>
      <c r="O207" t="s">
        <v>38</v>
      </c>
      <c r="P207" t="s">
        <v>31</v>
      </c>
      <c r="Q207" t="s">
        <v>39</v>
      </c>
    </row>
    <row r="208" spans="1:17" x14ac:dyDescent="0.3">
      <c r="A208" t="s">
        <v>286</v>
      </c>
      <c r="B208" s="1">
        <v>45300</v>
      </c>
      <c r="C208" t="s">
        <v>49</v>
      </c>
      <c r="D208" t="s">
        <v>35</v>
      </c>
      <c r="E208" t="s">
        <v>45</v>
      </c>
      <c r="F208" t="s">
        <v>46</v>
      </c>
      <c r="G208" t="s">
        <v>47</v>
      </c>
      <c r="H208">
        <v>15000</v>
      </c>
      <c r="I208">
        <v>10</v>
      </c>
      <c r="J208">
        <v>5</v>
      </c>
      <c r="K208">
        <v>25</v>
      </c>
      <c r="L208">
        <v>142500</v>
      </c>
      <c r="M208">
        <v>134011.71</v>
      </c>
      <c r="N208">
        <f t="shared" si="4"/>
        <v>8488.2900000000081</v>
      </c>
      <c r="O208" t="s">
        <v>38</v>
      </c>
      <c r="P208" t="s">
        <v>31</v>
      </c>
      <c r="Q208" t="s">
        <v>39</v>
      </c>
    </row>
    <row r="209" spans="1:17" x14ac:dyDescent="0.3">
      <c r="A209" t="s">
        <v>287</v>
      </c>
      <c r="B209" s="1">
        <v>45428</v>
      </c>
      <c r="C209" t="s">
        <v>34</v>
      </c>
      <c r="D209" t="s">
        <v>41</v>
      </c>
      <c r="E209" t="s">
        <v>50</v>
      </c>
      <c r="F209" t="s">
        <v>21</v>
      </c>
      <c r="G209" t="s">
        <v>51</v>
      </c>
      <c r="H209">
        <v>4500</v>
      </c>
      <c r="I209">
        <v>2</v>
      </c>
      <c r="J209">
        <v>15</v>
      </c>
      <c r="K209">
        <v>20</v>
      </c>
      <c r="L209">
        <v>7650</v>
      </c>
      <c r="M209">
        <v>7870.49</v>
      </c>
      <c r="N209">
        <f t="shared" si="4"/>
        <v>-220.48999999999978</v>
      </c>
      <c r="O209" t="s">
        <v>38</v>
      </c>
      <c r="P209" t="s">
        <v>24</v>
      </c>
      <c r="Q209" t="s">
        <v>39</v>
      </c>
    </row>
    <row r="210" spans="1:17" x14ac:dyDescent="0.3">
      <c r="A210" t="s">
        <v>288</v>
      </c>
      <c r="B210" s="1">
        <v>45402</v>
      </c>
      <c r="C210" t="s">
        <v>49</v>
      </c>
      <c r="D210" t="s">
        <v>41</v>
      </c>
      <c r="E210" t="s">
        <v>45</v>
      </c>
      <c r="F210" t="s">
        <v>46</v>
      </c>
      <c r="G210" t="s">
        <v>47</v>
      </c>
      <c r="H210">
        <v>15000</v>
      </c>
      <c r="I210">
        <v>3</v>
      </c>
      <c r="J210">
        <v>5</v>
      </c>
      <c r="K210">
        <v>15</v>
      </c>
      <c r="L210">
        <v>42750</v>
      </c>
      <c r="M210">
        <v>43632.17</v>
      </c>
      <c r="N210">
        <f t="shared" si="4"/>
        <v>-882.16999999999825</v>
      </c>
      <c r="O210" t="s">
        <v>38</v>
      </c>
      <c r="P210" t="s">
        <v>24</v>
      </c>
      <c r="Q210" t="s">
        <v>39</v>
      </c>
    </row>
    <row r="211" spans="1:17" x14ac:dyDescent="0.3">
      <c r="A211" t="s">
        <v>289</v>
      </c>
      <c r="B211" s="1">
        <v>45435</v>
      </c>
      <c r="C211" t="s">
        <v>18</v>
      </c>
      <c r="D211" t="s">
        <v>19</v>
      </c>
      <c r="E211" t="s">
        <v>104</v>
      </c>
      <c r="F211" t="s">
        <v>29</v>
      </c>
      <c r="G211" t="s">
        <v>30</v>
      </c>
      <c r="H211">
        <v>1200</v>
      </c>
      <c r="I211">
        <v>4</v>
      </c>
      <c r="J211">
        <v>15</v>
      </c>
      <c r="K211">
        <v>20</v>
      </c>
      <c r="L211">
        <v>4080</v>
      </c>
      <c r="M211">
        <v>3823.54</v>
      </c>
      <c r="N211">
        <f t="shared" si="4"/>
        <v>256.46000000000004</v>
      </c>
      <c r="O211" t="s">
        <v>38</v>
      </c>
      <c r="P211" t="s">
        <v>31</v>
      </c>
      <c r="Q211" t="s">
        <v>39</v>
      </c>
    </row>
    <row r="212" spans="1:17" x14ac:dyDescent="0.3">
      <c r="A212" t="s">
        <v>290</v>
      </c>
      <c r="B212" s="1">
        <v>45432</v>
      </c>
      <c r="C212" t="s">
        <v>34</v>
      </c>
      <c r="D212" t="s">
        <v>92</v>
      </c>
      <c r="E212" t="s">
        <v>107</v>
      </c>
      <c r="F212" t="s">
        <v>108</v>
      </c>
      <c r="G212" t="s">
        <v>109</v>
      </c>
      <c r="H212">
        <v>18000</v>
      </c>
      <c r="I212">
        <v>11</v>
      </c>
      <c r="J212">
        <v>10</v>
      </c>
      <c r="K212">
        <v>20</v>
      </c>
      <c r="L212">
        <v>178200</v>
      </c>
      <c r="M212">
        <v>160074.25</v>
      </c>
      <c r="N212">
        <f t="shared" si="4"/>
        <v>18125.75</v>
      </c>
      <c r="O212" t="s">
        <v>38</v>
      </c>
      <c r="P212" t="s">
        <v>31</v>
      </c>
      <c r="Q212" t="s">
        <v>39</v>
      </c>
    </row>
    <row r="213" spans="1:17" x14ac:dyDescent="0.3">
      <c r="A213" t="s">
        <v>291</v>
      </c>
      <c r="B213" s="1">
        <v>45406</v>
      </c>
      <c r="C213" t="s">
        <v>49</v>
      </c>
      <c r="D213" t="s">
        <v>41</v>
      </c>
      <c r="E213" t="s">
        <v>28</v>
      </c>
      <c r="F213" t="s">
        <v>29</v>
      </c>
      <c r="G213" t="s">
        <v>30</v>
      </c>
      <c r="H213">
        <v>1800</v>
      </c>
      <c r="I213">
        <v>12</v>
      </c>
      <c r="J213">
        <v>10</v>
      </c>
      <c r="K213">
        <v>5</v>
      </c>
      <c r="L213">
        <v>19440</v>
      </c>
      <c r="M213">
        <v>17579.45</v>
      </c>
      <c r="N213">
        <f t="shared" si="4"/>
        <v>1860.5499999999993</v>
      </c>
      <c r="O213" t="s">
        <v>23</v>
      </c>
      <c r="P213" t="s">
        <v>31</v>
      </c>
      <c r="Q213" t="s">
        <v>32</v>
      </c>
    </row>
    <row r="214" spans="1:17" x14ac:dyDescent="0.3">
      <c r="A214" t="s">
        <v>292</v>
      </c>
      <c r="B214" s="1">
        <v>45391</v>
      </c>
      <c r="C214" t="s">
        <v>34</v>
      </c>
      <c r="D214" t="s">
        <v>70</v>
      </c>
      <c r="E214" t="s">
        <v>100</v>
      </c>
      <c r="F214" t="s">
        <v>46</v>
      </c>
      <c r="G214" t="s">
        <v>55</v>
      </c>
      <c r="H214">
        <v>2500</v>
      </c>
      <c r="I214">
        <v>8</v>
      </c>
      <c r="J214">
        <v>5</v>
      </c>
      <c r="K214">
        <v>0</v>
      </c>
      <c r="L214">
        <v>19000</v>
      </c>
      <c r="M214">
        <v>17916.66</v>
      </c>
      <c r="N214">
        <f t="shared" si="4"/>
        <v>1083.3400000000001</v>
      </c>
      <c r="O214" t="s">
        <v>23</v>
      </c>
      <c r="P214" t="s">
        <v>31</v>
      </c>
      <c r="Q214" t="s">
        <v>32</v>
      </c>
    </row>
    <row r="215" spans="1:17" x14ac:dyDescent="0.3">
      <c r="A215" t="s">
        <v>293</v>
      </c>
      <c r="B215" s="1">
        <v>45405</v>
      </c>
      <c r="C215" t="s">
        <v>49</v>
      </c>
      <c r="D215" t="s">
        <v>70</v>
      </c>
      <c r="E215" t="s">
        <v>129</v>
      </c>
      <c r="F215" t="s">
        <v>21</v>
      </c>
      <c r="G215" t="s">
        <v>82</v>
      </c>
      <c r="H215">
        <v>3500</v>
      </c>
      <c r="I215">
        <v>1</v>
      </c>
      <c r="J215">
        <v>5</v>
      </c>
      <c r="K215">
        <v>20</v>
      </c>
      <c r="L215">
        <v>3325</v>
      </c>
      <c r="M215">
        <v>3144.08</v>
      </c>
      <c r="N215">
        <f t="shared" si="4"/>
        <v>180.92000000000007</v>
      </c>
      <c r="O215" t="s">
        <v>38</v>
      </c>
      <c r="P215" t="s">
        <v>31</v>
      </c>
      <c r="Q215" t="s">
        <v>39</v>
      </c>
    </row>
    <row r="216" spans="1:17" x14ac:dyDescent="0.3">
      <c r="A216" t="s">
        <v>294</v>
      </c>
      <c r="B216" s="1">
        <v>45362</v>
      </c>
      <c r="C216" t="s">
        <v>34</v>
      </c>
      <c r="D216" t="s">
        <v>27</v>
      </c>
      <c r="E216" t="s">
        <v>20</v>
      </c>
      <c r="F216" t="s">
        <v>21</v>
      </c>
      <c r="G216" t="s">
        <v>22</v>
      </c>
      <c r="H216">
        <v>6000</v>
      </c>
      <c r="I216">
        <v>7</v>
      </c>
      <c r="J216">
        <v>15</v>
      </c>
      <c r="K216">
        <v>0</v>
      </c>
      <c r="L216">
        <v>35700</v>
      </c>
      <c r="M216">
        <v>33076.120000000003</v>
      </c>
      <c r="N216">
        <f t="shared" si="4"/>
        <v>2623.8799999999974</v>
      </c>
      <c r="O216" t="s">
        <v>23</v>
      </c>
      <c r="P216" t="s">
        <v>31</v>
      </c>
      <c r="Q216" t="s">
        <v>32</v>
      </c>
    </row>
    <row r="217" spans="1:17" x14ac:dyDescent="0.3">
      <c r="A217" t="s">
        <v>295</v>
      </c>
      <c r="B217" s="1">
        <v>45421</v>
      </c>
      <c r="C217" t="s">
        <v>34</v>
      </c>
      <c r="D217" t="s">
        <v>27</v>
      </c>
      <c r="E217" t="s">
        <v>167</v>
      </c>
      <c r="F217" t="s">
        <v>21</v>
      </c>
      <c r="G217" t="s">
        <v>82</v>
      </c>
      <c r="H217">
        <v>7000</v>
      </c>
      <c r="I217">
        <v>8</v>
      </c>
      <c r="J217">
        <v>10</v>
      </c>
      <c r="K217">
        <v>5</v>
      </c>
      <c r="L217">
        <v>50400</v>
      </c>
      <c r="M217">
        <v>47932.39</v>
      </c>
      <c r="N217">
        <f t="shared" si="4"/>
        <v>2467.6100000000006</v>
      </c>
      <c r="O217" t="s">
        <v>23</v>
      </c>
      <c r="P217" t="s">
        <v>31</v>
      </c>
      <c r="Q217" t="s">
        <v>32</v>
      </c>
    </row>
    <row r="218" spans="1:17" x14ac:dyDescent="0.3">
      <c r="A218" t="s">
        <v>296</v>
      </c>
      <c r="B218" s="1">
        <v>45330</v>
      </c>
      <c r="C218" t="s">
        <v>53</v>
      </c>
      <c r="D218" t="s">
        <v>92</v>
      </c>
      <c r="E218" t="s">
        <v>61</v>
      </c>
      <c r="F218" t="s">
        <v>29</v>
      </c>
      <c r="G218" t="s">
        <v>43</v>
      </c>
      <c r="H218">
        <v>2800</v>
      </c>
      <c r="I218">
        <v>15</v>
      </c>
      <c r="J218">
        <v>10</v>
      </c>
      <c r="K218">
        <v>15</v>
      </c>
      <c r="L218">
        <v>37800</v>
      </c>
      <c r="M218">
        <v>37203.11</v>
      </c>
      <c r="N218">
        <f t="shared" si="4"/>
        <v>596.88999999999942</v>
      </c>
      <c r="O218" t="s">
        <v>38</v>
      </c>
      <c r="P218" t="s">
        <v>31</v>
      </c>
      <c r="Q218" t="s">
        <v>39</v>
      </c>
    </row>
    <row r="219" spans="1:17" x14ac:dyDescent="0.3">
      <c r="A219" t="s">
        <v>297</v>
      </c>
      <c r="B219" s="1">
        <v>45300</v>
      </c>
      <c r="C219" t="s">
        <v>18</v>
      </c>
      <c r="D219" t="s">
        <v>92</v>
      </c>
      <c r="E219" t="s">
        <v>140</v>
      </c>
      <c r="F219" t="s">
        <v>141</v>
      </c>
      <c r="G219" t="s">
        <v>142</v>
      </c>
      <c r="H219">
        <v>12000</v>
      </c>
      <c r="I219">
        <v>2</v>
      </c>
      <c r="J219">
        <v>5</v>
      </c>
      <c r="K219">
        <v>15</v>
      </c>
      <c r="L219">
        <v>22800</v>
      </c>
      <c r="M219">
        <v>22388.18</v>
      </c>
      <c r="N219">
        <f t="shared" si="4"/>
        <v>411.81999999999971</v>
      </c>
      <c r="O219" t="s">
        <v>38</v>
      </c>
      <c r="P219" t="s">
        <v>31</v>
      </c>
      <c r="Q219" t="s">
        <v>39</v>
      </c>
    </row>
    <row r="220" spans="1:17" x14ac:dyDescent="0.3">
      <c r="A220" t="s">
        <v>298</v>
      </c>
      <c r="B220" s="1">
        <v>45452</v>
      </c>
      <c r="C220" t="s">
        <v>49</v>
      </c>
      <c r="D220" t="s">
        <v>27</v>
      </c>
      <c r="E220" t="s">
        <v>71</v>
      </c>
      <c r="F220" t="s">
        <v>21</v>
      </c>
      <c r="G220" t="s">
        <v>72</v>
      </c>
      <c r="H220">
        <v>60000</v>
      </c>
      <c r="I220">
        <v>11</v>
      </c>
      <c r="J220">
        <v>15</v>
      </c>
      <c r="K220">
        <v>20</v>
      </c>
      <c r="L220">
        <v>561000</v>
      </c>
      <c r="M220">
        <v>534823.1</v>
      </c>
      <c r="N220">
        <f t="shared" si="4"/>
        <v>26176.900000000023</v>
      </c>
      <c r="O220" t="s">
        <v>38</v>
      </c>
      <c r="P220" t="s">
        <v>31</v>
      </c>
      <c r="Q220" t="s">
        <v>39</v>
      </c>
    </row>
    <row r="221" spans="1:17" x14ac:dyDescent="0.3">
      <c r="A221" t="s">
        <v>299</v>
      </c>
      <c r="B221" s="1">
        <v>45384</v>
      </c>
      <c r="C221" t="s">
        <v>18</v>
      </c>
      <c r="D221" t="s">
        <v>35</v>
      </c>
      <c r="E221" t="s">
        <v>100</v>
      </c>
      <c r="F221" t="s">
        <v>46</v>
      </c>
      <c r="G221" t="s">
        <v>55</v>
      </c>
      <c r="H221">
        <v>2500</v>
      </c>
      <c r="I221">
        <v>9</v>
      </c>
      <c r="J221">
        <v>10</v>
      </c>
      <c r="K221">
        <v>5</v>
      </c>
      <c r="L221">
        <v>20250</v>
      </c>
      <c r="M221">
        <v>20088.8</v>
      </c>
      <c r="N221">
        <f t="shared" si="4"/>
        <v>161.20000000000073</v>
      </c>
      <c r="O221" t="s">
        <v>23</v>
      </c>
      <c r="P221" t="s">
        <v>31</v>
      </c>
      <c r="Q221" t="s">
        <v>32</v>
      </c>
    </row>
    <row r="222" spans="1:17" x14ac:dyDescent="0.3">
      <c r="A222" t="s">
        <v>300</v>
      </c>
      <c r="B222" s="1">
        <v>45396</v>
      </c>
      <c r="C222" t="s">
        <v>53</v>
      </c>
      <c r="D222" t="s">
        <v>19</v>
      </c>
      <c r="E222" t="s">
        <v>50</v>
      </c>
      <c r="F222" t="s">
        <v>21</v>
      </c>
      <c r="G222" t="s">
        <v>51</v>
      </c>
      <c r="H222">
        <v>4500</v>
      </c>
      <c r="I222">
        <v>7</v>
      </c>
      <c r="J222">
        <v>10</v>
      </c>
      <c r="K222">
        <v>20</v>
      </c>
      <c r="L222">
        <v>28350</v>
      </c>
      <c r="M222">
        <v>26997.599999999999</v>
      </c>
      <c r="N222">
        <f t="shared" si="4"/>
        <v>1352.4000000000015</v>
      </c>
      <c r="O222" t="s">
        <v>38</v>
      </c>
      <c r="P222" t="s">
        <v>31</v>
      </c>
      <c r="Q222" t="s">
        <v>39</v>
      </c>
    </row>
    <row r="223" spans="1:17" x14ac:dyDescent="0.3">
      <c r="A223" t="s">
        <v>301</v>
      </c>
      <c r="B223" s="1">
        <v>45343</v>
      </c>
      <c r="C223" t="s">
        <v>53</v>
      </c>
      <c r="D223" t="s">
        <v>35</v>
      </c>
      <c r="E223" t="s">
        <v>151</v>
      </c>
      <c r="F223" t="s">
        <v>141</v>
      </c>
      <c r="G223" t="s">
        <v>142</v>
      </c>
      <c r="H223">
        <v>3500</v>
      </c>
      <c r="I223">
        <v>10</v>
      </c>
      <c r="J223">
        <v>5</v>
      </c>
      <c r="K223">
        <v>25</v>
      </c>
      <c r="L223">
        <v>33250</v>
      </c>
      <c r="M223">
        <v>33746.36</v>
      </c>
      <c r="N223">
        <f t="shared" si="4"/>
        <v>-496.36000000000058</v>
      </c>
      <c r="O223" t="s">
        <v>38</v>
      </c>
      <c r="P223" t="s">
        <v>24</v>
      </c>
      <c r="Q223" t="s">
        <v>39</v>
      </c>
    </row>
    <row r="224" spans="1:17" x14ac:dyDescent="0.3">
      <c r="A224" t="s">
        <v>302</v>
      </c>
      <c r="B224" s="1">
        <v>45313</v>
      </c>
      <c r="C224" t="s">
        <v>49</v>
      </c>
      <c r="D224" t="s">
        <v>92</v>
      </c>
      <c r="E224" t="s">
        <v>57</v>
      </c>
      <c r="F224" t="s">
        <v>46</v>
      </c>
      <c r="G224" t="s">
        <v>58</v>
      </c>
      <c r="H224">
        <v>18000</v>
      </c>
      <c r="I224">
        <v>4</v>
      </c>
      <c r="J224">
        <v>10</v>
      </c>
      <c r="K224">
        <v>10</v>
      </c>
      <c r="L224">
        <v>64800</v>
      </c>
      <c r="M224">
        <v>65009.760000000002</v>
      </c>
      <c r="N224">
        <f t="shared" si="4"/>
        <v>-209.76000000000204</v>
      </c>
      <c r="O224" t="s">
        <v>23</v>
      </c>
      <c r="P224" t="s">
        <v>24</v>
      </c>
      <c r="Q224" t="s">
        <v>25</v>
      </c>
    </row>
    <row r="225" spans="1:17" x14ac:dyDescent="0.3">
      <c r="A225" t="s">
        <v>303</v>
      </c>
      <c r="B225" s="1">
        <v>45306</v>
      </c>
      <c r="C225" t="s">
        <v>34</v>
      </c>
      <c r="D225" t="s">
        <v>92</v>
      </c>
      <c r="E225" t="s">
        <v>104</v>
      </c>
      <c r="F225" t="s">
        <v>29</v>
      </c>
      <c r="G225" t="s">
        <v>30</v>
      </c>
      <c r="H225">
        <v>1200</v>
      </c>
      <c r="I225">
        <v>4</v>
      </c>
      <c r="J225">
        <v>10</v>
      </c>
      <c r="K225">
        <v>15</v>
      </c>
      <c r="L225">
        <v>4320</v>
      </c>
      <c r="M225">
        <v>4053.8</v>
      </c>
      <c r="N225">
        <f t="shared" si="4"/>
        <v>266.19999999999982</v>
      </c>
      <c r="O225" t="s">
        <v>38</v>
      </c>
      <c r="P225" t="s">
        <v>31</v>
      </c>
      <c r="Q225" t="s">
        <v>39</v>
      </c>
    </row>
    <row r="226" spans="1:17" x14ac:dyDescent="0.3">
      <c r="A226" t="s">
        <v>304</v>
      </c>
      <c r="B226" s="1">
        <v>45417</v>
      </c>
      <c r="C226" t="s">
        <v>34</v>
      </c>
      <c r="D226" t="s">
        <v>19</v>
      </c>
      <c r="E226" t="s">
        <v>54</v>
      </c>
      <c r="F226" t="s">
        <v>46</v>
      </c>
      <c r="G226" t="s">
        <v>55</v>
      </c>
      <c r="H226">
        <v>4500</v>
      </c>
      <c r="I226">
        <v>9</v>
      </c>
      <c r="J226">
        <v>15</v>
      </c>
      <c r="K226">
        <v>20</v>
      </c>
      <c r="L226">
        <v>34425</v>
      </c>
      <c r="M226">
        <v>34387.07</v>
      </c>
      <c r="N226">
        <f t="shared" si="4"/>
        <v>37.930000000000291</v>
      </c>
      <c r="O226" t="s">
        <v>38</v>
      </c>
      <c r="P226" t="s">
        <v>31</v>
      </c>
      <c r="Q226" t="s">
        <v>39</v>
      </c>
    </row>
    <row r="227" spans="1:17" x14ac:dyDescent="0.3">
      <c r="A227" t="s">
        <v>305</v>
      </c>
      <c r="B227" s="1">
        <v>45292</v>
      </c>
      <c r="C227" t="s">
        <v>49</v>
      </c>
      <c r="D227" t="s">
        <v>41</v>
      </c>
      <c r="E227" t="s">
        <v>129</v>
      </c>
      <c r="F227" t="s">
        <v>21</v>
      </c>
      <c r="G227" t="s">
        <v>82</v>
      </c>
      <c r="H227">
        <v>3500</v>
      </c>
      <c r="I227">
        <v>11</v>
      </c>
      <c r="J227">
        <v>5</v>
      </c>
      <c r="K227">
        <v>25</v>
      </c>
      <c r="L227">
        <v>36575</v>
      </c>
      <c r="M227">
        <v>33377.78</v>
      </c>
      <c r="N227">
        <f t="shared" si="4"/>
        <v>3197.2200000000012</v>
      </c>
      <c r="O227" t="s">
        <v>38</v>
      </c>
      <c r="P227" t="s">
        <v>31</v>
      </c>
      <c r="Q227" t="s">
        <v>39</v>
      </c>
    </row>
    <row r="228" spans="1:17" x14ac:dyDescent="0.3">
      <c r="A228" t="s">
        <v>306</v>
      </c>
      <c r="B228" s="1">
        <v>45468</v>
      </c>
      <c r="C228" t="s">
        <v>53</v>
      </c>
      <c r="D228" t="s">
        <v>35</v>
      </c>
      <c r="E228" t="s">
        <v>90</v>
      </c>
      <c r="F228" t="s">
        <v>29</v>
      </c>
      <c r="G228" t="s">
        <v>37</v>
      </c>
      <c r="H228">
        <v>6500</v>
      </c>
      <c r="I228">
        <v>6</v>
      </c>
      <c r="J228">
        <v>10</v>
      </c>
      <c r="K228">
        <v>5</v>
      </c>
      <c r="L228">
        <v>35100</v>
      </c>
      <c r="M228">
        <v>36070.42</v>
      </c>
      <c r="N228">
        <f t="shared" si="4"/>
        <v>-970.41999999999825</v>
      </c>
      <c r="O228" t="s">
        <v>23</v>
      </c>
      <c r="P228" t="s">
        <v>24</v>
      </c>
      <c r="Q228" t="s">
        <v>25</v>
      </c>
    </row>
    <row r="229" spans="1:17" x14ac:dyDescent="0.3">
      <c r="A229" t="s">
        <v>307</v>
      </c>
      <c r="B229" s="1">
        <v>45310</v>
      </c>
      <c r="C229" t="s">
        <v>18</v>
      </c>
      <c r="D229" t="s">
        <v>70</v>
      </c>
      <c r="E229" t="s">
        <v>129</v>
      </c>
      <c r="F229" t="s">
        <v>21</v>
      </c>
      <c r="G229" t="s">
        <v>82</v>
      </c>
      <c r="H229">
        <v>3500</v>
      </c>
      <c r="I229">
        <v>8</v>
      </c>
      <c r="J229">
        <v>15</v>
      </c>
      <c r="K229">
        <v>20</v>
      </c>
      <c r="L229">
        <v>23800</v>
      </c>
      <c r="M229">
        <v>22603.81</v>
      </c>
      <c r="N229">
        <f t="shared" si="4"/>
        <v>1196.1899999999987</v>
      </c>
      <c r="O229" t="s">
        <v>38</v>
      </c>
      <c r="P229" t="s">
        <v>31</v>
      </c>
      <c r="Q229" t="s">
        <v>39</v>
      </c>
    </row>
    <row r="230" spans="1:17" x14ac:dyDescent="0.3">
      <c r="A230" t="s">
        <v>308</v>
      </c>
      <c r="B230" s="1">
        <v>45302</v>
      </c>
      <c r="C230" t="s">
        <v>34</v>
      </c>
      <c r="D230" t="s">
        <v>70</v>
      </c>
      <c r="E230" t="s">
        <v>61</v>
      </c>
      <c r="F230" t="s">
        <v>29</v>
      </c>
      <c r="G230" t="s">
        <v>43</v>
      </c>
      <c r="H230">
        <v>2800</v>
      </c>
      <c r="I230">
        <v>5</v>
      </c>
      <c r="J230">
        <v>10</v>
      </c>
      <c r="K230">
        <v>25</v>
      </c>
      <c r="L230">
        <v>12600</v>
      </c>
      <c r="M230">
        <v>11608.88</v>
      </c>
      <c r="N230">
        <f t="shared" si="4"/>
        <v>991.1200000000008</v>
      </c>
      <c r="O230" t="s">
        <v>38</v>
      </c>
      <c r="P230" t="s">
        <v>31</v>
      </c>
      <c r="Q230" t="s">
        <v>39</v>
      </c>
    </row>
    <row r="231" spans="1:17" x14ac:dyDescent="0.3">
      <c r="A231" t="s">
        <v>309</v>
      </c>
      <c r="B231" s="1">
        <v>45437</v>
      </c>
      <c r="C231" t="s">
        <v>18</v>
      </c>
      <c r="D231" t="s">
        <v>41</v>
      </c>
      <c r="E231" t="s">
        <v>54</v>
      </c>
      <c r="F231" t="s">
        <v>46</v>
      </c>
      <c r="G231" t="s">
        <v>55</v>
      </c>
      <c r="H231">
        <v>4500</v>
      </c>
      <c r="I231">
        <v>5</v>
      </c>
      <c r="J231">
        <v>5</v>
      </c>
      <c r="K231">
        <v>15</v>
      </c>
      <c r="L231">
        <v>21375</v>
      </c>
      <c r="M231">
        <v>19392.310000000001</v>
      </c>
      <c r="N231">
        <f t="shared" si="4"/>
        <v>1982.6899999999987</v>
      </c>
      <c r="O231" t="s">
        <v>38</v>
      </c>
      <c r="P231" t="s">
        <v>31</v>
      </c>
      <c r="Q231" t="s">
        <v>39</v>
      </c>
    </row>
    <row r="232" spans="1:17" x14ac:dyDescent="0.3">
      <c r="A232" t="s">
        <v>310</v>
      </c>
      <c r="B232" s="1">
        <v>45322</v>
      </c>
      <c r="C232" t="s">
        <v>18</v>
      </c>
      <c r="D232" t="s">
        <v>41</v>
      </c>
      <c r="E232" t="s">
        <v>20</v>
      </c>
      <c r="F232" t="s">
        <v>21</v>
      </c>
      <c r="G232" t="s">
        <v>22</v>
      </c>
      <c r="H232">
        <v>6000</v>
      </c>
      <c r="I232">
        <v>3</v>
      </c>
      <c r="J232">
        <v>15</v>
      </c>
      <c r="K232">
        <v>20</v>
      </c>
      <c r="L232">
        <v>15300</v>
      </c>
      <c r="M232">
        <v>15064.26</v>
      </c>
      <c r="N232">
        <f t="shared" si="4"/>
        <v>235.73999999999978</v>
      </c>
      <c r="O232" t="s">
        <v>38</v>
      </c>
      <c r="P232" t="s">
        <v>31</v>
      </c>
      <c r="Q232" t="s">
        <v>39</v>
      </c>
    </row>
    <row r="233" spans="1:17" x14ac:dyDescent="0.3">
      <c r="A233" t="s">
        <v>311</v>
      </c>
      <c r="B233" s="1">
        <v>45435</v>
      </c>
      <c r="C233" t="s">
        <v>34</v>
      </c>
      <c r="D233" t="s">
        <v>19</v>
      </c>
      <c r="E233" t="s">
        <v>75</v>
      </c>
      <c r="F233" t="s">
        <v>76</v>
      </c>
      <c r="G233" t="s">
        <v>77</v>
      </c>
      <c r="H233">
        <v>8000</v>
      </c>
      <c r="I233">
        <v>14</v>
      </c>
      <c r="J233">
        <v>5</v>
      </c>
      <c r="K233">
        <v>0</v>
      </c>
      <c r="L233">
        <v>106400</v>
      </c>
      <c r="M233">
        <v>103189.75999999999</v>
      </c>
      <c r="N233">
        <f t="shared" si="4"/>
        <v>3210.2400000000052</v>
      </c>
      <c r="O233" t="s">
        <v>23</v>
      </c>
      <c r="P233" t="s">
        <v>31</v>
      </c>
      <c r="Q233" t="s">
        <v>32</v>
      </c>
    </row>
    <row r="234" spans="1:17" x14ac:dyDescent="0.3">
      <c r="A234" t="s">
        <v>312</v>
      </c>
      <c r="B234" s="1">
        <v>45457</v>
      </c>
      <c r="C234" t="s">
        <v>34</v>
      </c>
      <c r="D234" t="s">
        <v>92</v>
      </c>
      <c r="E234" t="s">
        <v>50</v>
      </c>
      <c r="F234" t="s">
        <v>21</v>
      </c>
      <c r="G234" t="s">
        <v>51</v>
      </c>
      <c r="H234">
        <v>4500</v>
      </c>
      <c r="I234">
        <v>5</v>
      </c>
      <c r="J234">
        <v>15</v>
      </c>
      <c r="K234">
        <v>20</v>
      </c>
      <c r="L234">
        <v>19125</v>
      </c>
      <c r="M234">
        <v>19196.84</v>
      </c>
      <c r="N234">
        <f t="shared" si="4"/>
        <v>-71.840000000000146</v>
      </c>
      <c r="O234" t="s">
        <v>38</v>
      </c>
      <c r="P234" t="s">
        <v>24</v>
      </c>
      <c r="Q234" t="s">
        <v>39</v>
      </c>
    </row>
    <row r="235" spans="1:17" x14ac:dyDescent="0.3">
      <c r="A235" t="s">
        <v>313</v>
      </c>
      <c r="B235" s="1">
        <v>45464</v>
      </c>
      <c r="C235" t="s">
        <v>34</v>
      </c>
      <c r="D235" t="s">
        <v>92</v>
      </c>
      <c r="E235" t="s">
        <v>129</v>
      </c>
      <c r="F235" t="s">
        <v>21</v>
      </c>
      <c r="G235" t="s">
        <v>82</v>
      </c>
      <c r="H235">
        <v>3500</v>
      </c>
      <c r="I235">
        <v>8</v>
      </c>
      <c r="J235">
        <v>5</v>
      </c>
      <c r="K235">
        <v>20</v>
      </c>
      <c r="L235">
        <v>26600</v>
      </c>
      <c r="M235">
        <v>23831.919999999998</v>
      </c>
      <c r="N235">
        <f t="shared" si="4"/>
        <v>2768.0800000000017</v>
      </c>
      <c r="O235" t="s">
        <v>38</v>
      </c>
      <c r="P235" t="s">
        <v>31</v>
      </c>
      <c r="Q235" t="s">
        <v>39</v>
      </c>
    </row>
    <row r="236" spans="1:17" x14ac:dyDescent="0.3">
      <c r="A236" t="s">
        <v>314</v>
      </c>
      <c r="B236" s="1">
        <v>45324</v>
      </c>
      <c r="C236" t="s">
        <v>34</v>
      </c>
      <c r="D236" t="s">
        <v>27</v>
      </c>
      <c r="E236" t="s">
        <v>20</v>
      </c>
      <c r="F236" t="s">
        <v>21</v>
      </c>
      <c r="G236" t="s">
        <v>22</v>
      </c>
      <c r="H236">
        <v>6000</v>
      </c>
      <c r="I236">
        <v>13</v>
      </c>
      <c r="J236">
        <v>10</v>
      </c>
      <c r="K236">
        <v>20</v>
      </c>
      <c r="L236">
        <v>70200</v>
      </c>
      <c r="M236">
        <v>65926.33</v>
      </c>
      <c r="N236">
        <f t="shared" si="4"/>
        <v>4273.6699999999983</v>
      </c>
      <c r="O236" t="s">
        <v>38</v>
      </c>
      <c r="P236" t="s">
        <v>31</v>
      </c>
      <c r="Q236" t="s">
        <v>39</v>
      </c>
    </row>
    <row r="237" spans="1:17" x14ac:dyDescent="0.3">
      <c r="A237" t="s">
        <v>315</v>
      </c>
      <c r="B237" s="1">
        <v>45417</v>
      </c>
      <c r="C237" t="s">
        <v>34</v>
      </c>
      <c r="D237" t="s">
        <v>92</v>
      </c>
      <c r="E237" t="s">
        <v>167</v>
      </c>
      <c r="F237" t="s">
        <v>21</v>
      </c>
      <c r="G237" t="s">
        <v>82</v>
      </c>
      <c r="H237">
        <v>7000</v>
      </c>
      <c r="I237">
        <v>7</v>
      </c>
      <c r="J237">
        <v>15</v>
      </c>
      <c r="K237">
        <v>5</v>
      </c>
      <c r="L237">
        <v>41650</v>
      </c>
      <c r="M237">
        <v>41697.47</v>
      </c>
      <c r="N237">
        <f t="shared" si="4"/>
        <v>-47.470000000001164</v>
      </c>
      <c r="O237" t="s">
        <v>23</v>
      </c>
      <c r="P237" t="s">
        <v>24</v>
      </c>
      <c r="Q237" t="s">
        <v>25</v>
      </c>
    </row>
    <row r="238" spans="1:17" x14ac:dyDescent="0.3">
      <c r="A238" t="s">
        <v>316</v>
      </c>
      <c r="B238" s="1">
        <v>45407</v>
      </c>
      <c r="C238" t="s">
        <v>34</v>
      </c>
      <c r="D238" t="s">
        <v>19</v>
      </c>
      <c r="E238" t="s">
        <v>54</v>
      </c>
      <c r="F238" t="s">
        <v>46</v>
      </c>
      <c r="G238" t="s">
        <v>55</v>
      </c>
      <c r="H238">
        <v>4500</v>
      </c>
      <c r="I238">
        <v>4</v>
      </c>
      <c r="J238">
        <v>15</v>
      </c>
      <c r="K238">
        <v>20</v>
      </c>
      <c r="L238">
        <v>15300</v>
      </c>
      <c r="M238">
        <v>15799.3</v>
      </c>
      <c r="N238">
        <f t="shared" si="4"/>
        <v>-499.29999999999927</v>
      </c>
      <c r="O238" t="s">
        <v>38</v>
      </c>
      <c r="P238" t="s">
        <v>24</v>
      </c>
      <c r="Q238" t="s">
        <v>39</v>
      </c>
    </row>
    <row r="239" spans="1:17" x14ac:dyDescent="0.3">
      <c r="A239" t="s">
        <v>317</v>
      </c>
      <c r="B239" s="1">
        <v>45335</v>
      </c>
      <c r="C239" t="s">
        <v>49</v>
      </c>
      <c r="D239" t="s">
        <v>27</v>
      </c>
      <c r="E239" t="s">
        <v>28</v>
      </c>
      <c r="F239" t="s">
        <v>29</v>
      </c>
      <c r="G239" t="s">
        <v>30</v>
      </c>
      <c r="H239">
        <v>1800</v>
      </c>
      <c r="I239">
        <v>7</v>
      </c>
      <c r="J239">
        <v>15</v>
      </c>
      <c r="K239">
        <v>20</v>
      </c>
      <c r="L239">
        <v>10710</v>
      </c>
      <c r="M239">
        <v>10009.39</v>
      </c>
      <c r="N239">
        <f t="shared" si="4"/>
        <v>700.61000000000058</v>
      </c>
      <c r="O239" t="s">
        <v>38</v>
      </c>
      <c r="P239" t="s">
        <v>31</v>
      </c>
      <c r="Q239" t="s">
        <v>39</v>
      </c>
    </row>
    <row r="240" spans="1:17" x14ac:dyDescent="0.3">
      <c r="A240" t="s">
        <v>318</v>
      </c>
      <c r="B240" s="1">
        <v>45458</v>
      </c>
      <c r="C240" t="s">
        <v>49</v>
      </c>
      <c r="D240" t="s">
        <v>35</v>
      </c>
      <c r="E240" t="s">
        <v>54</v>
      </c>
      <c r="F240" t="s">
        <v>46</v>
      </c>
      <c r="G240" t="s">
        <v>55</v>
      </c>
      <c r="H240">
        <v>4500</v>
      </c>
      <c r="I240">
        <v>14</v>
      </c>
      <c r="J240">
        <v>5</v>
      </c>
      <c r="K240">
        <v>5</v>
      </c>
      <c r="L240">
        <v>59850</v>
      </c>
      <c r="M240">
        <v>56643.02</v>
      </c>
      <c r="N240">
        <f t="shared" si="4"/>
        <v>3206.9800000000032</v>
      </c>
      <c r="O240" t="s">
        <v>23</v>
      </c>
      <c r="P240" t="s">
        <v>31</v>
      </c>
      <c r="Q240" t="s">
        <v>32</v>
      </c>
    </row>
    <row r="241" spans="1:17" x14ac:dyDescent="0.3">
      <c r="A241" t="s">
        <v>319</v>
      </c>
      <c r="B241" s="1">
        <v>45303</v>
      </c>
      <c r="C241" t="s">
        <v>18</v>
      </c>
      <c r="D241" t="s">
        <v>35</v>
      </c>
      <c r="E241" t="s">
        <v>155</v>
      </c>
      <c r="F241" t="s">
        <v>21</v>
      </c>
      <c r="G241" t="s">
        <v>72</v>
      </c>
      <c r="H241">
        <v>35000</v>
      </c>
      <c r="I241">
        <v>12</v>
      </c>
      <c r="J241">
        <v>5</v>
      </c>
      <c r="K241">
        <v>5</v>
      </c>
      <c r="L241">
        <v>399000</v>
      </c>
      <c r="M241">
        <v>345522.55</v>
      </c>
      <c r="N241">
        <f t="shared" si="4"/>
        <v>53477.450000000012</v>
      </c>
      <c r="O241" t="s">
        <v>23</v>
      </c>
      <c r="P241" t="s">
        <v>31</v>
      </c>
      <c r="Q241" t="s">
        <v>32</v>
      </c>
    </row>
    <row r="242" spans="1:17" x14ac:dyDescent="0.3">
      <c r="A242" t="s">
        <v>320</v>
      </c>
      <c r="B242" s="1">
        <v>45400</v>
      </c>
      <c r="C242" t="s">
        <v>53</v>
      </c>
      <c r="D242" t="s">
        <v>92</v>
      </c>
      <c r="E242" t="s">
        <v>45</v>
      </c>
      <c r="F242" t="s">
        <v>46</v>
      </c>
      <c r="G242" t="s">
        <v>47</v>
      </c>
      <c r="H242">
        <v>15000</v>
      </c>
      <c r="I242">
        <v>14</v>
      </c>
      <c r="J242">
        <v>5</v>
      </c>
      <c r="K242">
        <v>25</v>
      </c>
      <c r="L242">
        <v>199500</v>
      </c>
      <c r="M242">
        <v>187889.76</v>
      </c>
      <c r="N242">
        <f t="shared" si="4"/>
        <v>11610.239999999991</v>
      </c>
      <c r="O242" t="s">
        <v>38</v>
      </c>
      <c r="P242" t="s">
        <v>31</v>
      </c>
      <c r="Q242" t="s">
        <v>39</v>
      </c>
    </row>
    <row r="243" spans="1:17" x14ac:dyDescent="0.3">
      <c r="A243" t="s">
        <v>321</v>
      </c>
      <c r="B243" s="1">
        <v>45315</v>
      </c>
      <c r="C243" t="s">
        <v>18</v>
      </c>
      <c r="D243" t="s">
        <v>92</v>
      </c>
      <c r="E243" t="s">
        <v>20</v>
      </c>
      <c r="F243" t="s">
        <v>21</v>
      </c>
      <c r="G243" t="s">
        <v>22</v>
      </c>
      <c r="H243">
        <v>6000</v>
      </c>
      <c r="I243">
        <v>9</v>
      </c>
      <c r="J243">
        <v>5</v>
      </c>
      <c r="K243">
        <v>5</v>
      </c>
      <c r="L243">
        <v>51300</v>
      </c>
      <c r="M243">
        <v>48079.68</v>
      </c>
      <c r="N243">
        <f t="shared" si="4"/>
        <v>3220.3199999999997</v>
      </c>
      <c r="O243" t="s">
        <v>23</v>
      </c>
      <c r="P243" t="s">
        <v>31</v>
      </c>
      <c r="Q243" t="s">
        <v>32</v>
      </c>
    </row>
    <row r="244" spans="1:17" x14ac:dyDescent="0.3">
      <c r="A244" t="s">
        <v>322</v>
      </c>
      <c r="B244" s="1">
        <v>45428</v>
      </c>
      <c r="C244" t="s">
        <v>49</v>
      </c>
      <c r="D244" t="s">
        <v>27</v>
      </c>
      <c r="E244" t="s">
        <v>140</v>
      </c>
      <c r="F244" t="s">
        <v>141</v>
      </c>
      <c r="G244" t="s">
        <v>142</v>
      </c>
      <c r="H244">
        <v>12000</v>
      </c>
      <c r="I244">
        <v>13</v>
      </c>
      <c r="J244">
        <v>5</v>
      </c>
      <c r="K244">
        <v>5</v>
      </c>
      <c r="L244">
        <v>148200</v>
      </c>
      <c r="M244">
        <v>137243.9</v>
      </c>
      <c r="N244">
        <f t="shared" si="4"/>
        <v>10956.100000000006</v>
      </c>
      <c r="O244" t="s">
        <v>23</v>
      </c>
      <c r="P244" t="s">
        <v>31</v>
      </c>
      <c r="Q244" t="s">
        <v>32</v>
      </c>
    </row>
    <row r="245" spans="1:17" x14ac:dyDescent="0.3">
      <c r="A245" t="s">
        <v>323</v>
      </c>
      <c r="B245" s="1">
        <v>45443</v>
      </c>
      <c r="C245" t="s">
        <v>18</v>
      </c>
      <c r="D245" t="s">
        <v>27</v>
      </c>
      <c r="E245" t="s">
        <v>104</v>
      </c>
      <c r="F245" t="s">
        <v>29</v>
      </c>
      <c r="G245" t="s">
        <v>30</v>
      </c>
      <c r="H245">
        <v>1200</v>
      </c>
      <c r="I245">
        <v>8</v>
      </c>
      <c r="J245">
        <v>15</v>
      </c>
      <c r="K245">
        <v>10</v>
      </c>
      <c r="L245">
        <v>8160</v>
      </c>
      <c r="M245">
        <v>8445.86</v>
      </c>
      <c r="N245">
        <f t="shared" si="4"/>
        <v>-285.86000000000058</v>
      </c>
      <c r="O245" t="s">
        <v>23</v>
      </c>
      <c r="P245" t="s">
        <v>24</v>
      </c>
      <c r="Q245" t="s">
        <v>25</v>
      </c>
    </row>
    <row r="246" spans="1:17" x14ac:dyDescent="0.3">
      <c r="A246" t="s">
        <v>324</v>
      </c>
      <c r="B246" s="1">
        <v>45360</v>
      </c>
      <c r="C246" t="s">
        <v>53</v>
      </c>
      <c r="D246" t="s">
        <v>41</v>
      </c>
      <c r="E246" t="s">
        <v>100</v>
      </c>
      <c r="F246" t="s">
        <v>46</v>
      </c>
      <c r="G246" t="s">
        <v>55</v>
      </c>
      <c r="H246">
        <v>2500</v>
      </c>
      <c r="I246">
        <v>1</v>
      </c>
      <c r="J246">
        <v>10</v>
      </c>
      <c r="K246">
        <v>5</v>
      </c>
      <c r="L246">
        <v>2250</v>
      </c>
      <c r="M246">
        <v>2345.88</v>
      </c>
      <c r="N246">
        <f t="shared" si="4"/>
        <v>-95.880000000000109</v>
      </c>
      <c r="O246" t="s">
        <v>23</v>
      </c>
      <c r="P246" t="s">
        <v>24</v>
      </c>
      <c r="Q246" t="s">
        <v>25</v>
      </c>
    </row>
    <row r="247" spans="1:17" x14ac:dyDescent="0.3">
      <c r="A247" t="s">
        <v>325</v>
      </c>
      <c r="B247" s="1">
        <v>45451</v>
      </c>
      <c r="C247" t="s">
        <v>18</v>
      </c>
      <c r="D247" t="s">
        <v>27</v>
      </c>
      <c r="E247" t="s">
        <v>102</v>
      </c>
      <c r="F247" t="s">
        <v>29</v>
      </c>
      <c r="G247" t="s">
        <v>43</v>
      </c>
      <c r="H247">
        <v>1500</v>
      </c>
      <c r="I247">
        <v>4</v>
      </c>
      <c r="J247">
        <v>15</v>
      </c>
      <c r="K247">
        <v>0</v>
      </c>
      <c r="L247">
        <v>5100</v>
      </c>
      <c r="M247">
        <v>5020.59</v>
      </c>
      <c r="N247">
        <f t="shared" si="4"/>
        <v>79.409999999999854</v>
      </c>
      <c r="O247" t="s">
        <v>23</v>
      </c>
      <c r="P247" t="s">
        <v>31</v>
      </c>
      <c r="Q247" t="s">
        <v>32</v>
      </c>
    </row>
    <row r="248" spans="1:17" x14ac:dyDescent="0.3">
      <c r="A248" t="s">
        <v>326</v>
      </c>
      <c r="B248" s="1">
        <v>45472</v>
      </c>
      <c r="C248" t="s">
        <v>34</v>
      </c>
      <c r="D248" t="s">
        <v>19</v>
      </c>
      <c r="E248" t="s">
        <v>100</v>
      </c>
      <c r="F248" t="s">
        <v>46</v>
      </c>
      <c r="G248" t="s">
        <v>55</v>
      </c>
      <c r="H248">
        <v>2500</v>
      </c>
      <c r="I248">
        <v>12</v>
      </c>
      <c r="J248">
        <v>5</v>
      </c>
      <c r="K248">
        <v>20</v>
      </c>
      <c r="L248">
        <v>28500</v>
      </c>
      <c r="M248">
        <v>27353.56</v>
      </c>
      <c r="N248">
        <f t="shared" si="4"/>
        <v>1146.4399999999987</v>
      </c>
      <c r="O248" t="s">
        <v>38</v>
      </c>
      <c r="P248" t="s">
        <v>31</v>
      </c>
      <c r="Q248" t="s">
        <v>39</v>
      </c>
    </row>
    <row r="249" spans="1:17" x14ac:dyDescent="0.3">
      <c r="A249" t="s">
        <v>327</v>
      </c>
      <c r="B249" s="1">
        <v>45336</v>
      </c>
      <c r="C249" t="s">
        <v>53</v>
      </c>
      <c r="D249" t="s">
        <v>35</v>
      </c>
      <c r="E249" t="s">
        <v>67</v>
      </c>
      <c r="F249" t="s">
        <v>29</v>
      </c>
      <c r="G249" t="s">
        <v>68</v>
      </c>
      <c r="H249">
        <v>1200</v>
      </c>
      <c r="I249">
        <v>9</v>
      </c>
      <c r="J249">
        <v>10</v>
      </c>
      <c r="K249">
        <v>25</v>
      </c>
      <c r="L249">
        <v>9720</v>
      </c>
      <c r="M249">
        <v>8422.59</v>
      </c>
      <c r="N249">
        <f t="shared" si="4"/>
        <v>1297.4099999999999</v>
      </c>
      <c r="O249" t="s">
        <v>38</v>
      </c>
      <c r="P249" t="s">
        <v>31</v>
      </c>
      <c r="Q249" t="s">
        <v>39</v>
      </c>
    </row>
    <row r="250" spans="1:17" x14ac:dyDescent="0.3">
      <c r="A250" t="s">
        <v>328</v>
      </c>
      <c r="B250" s="1">
        <v>45311</v>
      </c>
      <c r="C250" t="s">
        <v>34</v>
      </c>
      <c r="D250" t="s">
        <v>92</v>
      </c>
      <c r="E250" t="s">
        <v>129</v>
      </c>
      <c r="F250" t="s">
        <v>21</v>
      </c>
      <c r="G250" t="s">
        <v>82</v>
      </c>
      <c r="H250">
        <v>3500</v>
      </c>
      <c r="I250">
        <v>3</v>
      </c>
      <c r="J250">
        <v>5</v>
      </c>
      <c r="K250">
        <v>0</v>
      </c>
      <c r="L250">
        <v>9975</v>
      </c>
      <c r="M250">
        <v>9720.23</v>
      </c>
      <c r="N250">
        <f t="shared" si="4"/>
        <v>254.77000000000044</v>
      </c>
      <c r="O250" t="s">
        <v>23</v>
      </c>
      <c r="P250" t="s">
        <v>31</v>
      </c>
      <c r="Q250" t="s">
        <v>32</v>
      </c>
    </row>
    <row r="251" spans="1:17" x14ac:dyDescent="0.3">
      <c r="A251" t="s">
        <v>329</v>
      </c>
      <c r="B251" s="1">
        <v>45311</v>
      </c>
      <c r="C251" t="s">
        <v>34</v>
      </c>
      <c r="D251" t="s">
        <v>92</v>
      </c>
      <c r="E251" t="s">
        <v>155</v>
      </c>
      <c r="F251" t="s">
        <v>21</v>
      </c>
      <c r="G251" t="s">
        <v>72</v>
      </c>
      <c r="H251">
        <v>35000</v>
      </c>
      <c r="I251">
        <v>3</v>
      </c>
      <c r="J251">
        <v>5</v>
      </c>
      <c r="K251">
        <v>15</v>
      </c>
      <c r="L251">
        <v>99750</v>
      </c>
      <c r="M251">
        <v>86031.32</v>
      </c>
      <c r="N251">
        <f t="shared" si="4"/>
        <v>13718.679999999993</v>
      </c>
      <c r="O251" t="s">
        <v>38</v>
      </c>
      <c r="P251" t="s">
        <v>31</v>
      </c>
      <c r="Q251" t="s">
        <v>39</v>
      </c>
    </row>
    <row r="252" spans="1:17" x14ac:dyDescent="0.3">
      <c r="A252" t="s">
        <v>330</v>
      </c>
      <c r="B252" s="1">
        <v>45364</v>
      </c>
      <c r="C252" t="s">
        <v>18</v>
      </c>
      <c r="D252" t="s">
        <v>92</v>
      </c>
      <c r="E252" t="s">
        <v>67</v>
      </c>
      <c r="F252" t="s">
        <v>29</v>
      </c>
      <c r="G252" t="s">
        <v>68</v>
      </c>
      <c r="H252">
        <v>1200</v>
      </c>
      <c r="I252">
        <v>14</v>
      </c>
      <c r="J252">
        <v>5</v>
      </c>
      <c r="K252">
        <v>15</v>
      </c>
      <c r="L252">
        <v>15960</v>
      </c>
      <c r="M252">
        <v>16345.97</v>
      </c>
      <c r="N252">
        <f t="shared" si="4"/>
        <v>-385.96999999999935</v>
      </c>
      <c r="O252" t="s">
        <v>38</v>
      </c>
      <c r="P252" t="s">
        <v>24</v>
      </c>
      <c r="Q252" t="s">
        <v>39</v>
      </c>
    </row>
    <row r="253" spans="1:17" x14ac:dyDescent="0.3">
      <c r="A253" t="s">
        <v>331</v>
      </c>
      <c r="B253" s="1">
        <v>45316</v>
      </c>
      <c r="C253" t="s">
        <v>53</v>
      </c>
      <c r="D253" t="s">
        <v>92</v>
      </c>
      <c r="E253" t="s">
        <v>90</v>
      </c>
      <c r="F253" t="s">
        <v>29</v>
      </c>
      <c r="G253" t="s">
        <v>37</v>
      </c>
      <c r="H253">
        <v>6500</v>
      </c>
      <c r="I253">
        <v>2</v>
      </c>
      <c r="J253">
        <v>5</v>
      </c>
      <c r="K253">
        <v>5</v>
      </c>
      <c r="L253">
        <v>12350</v>
      </c>
      <c r="M253">
        <v>10862.26</v>
      </c>
      <c r="N253">
        <f t="shared" si="4"/>
        <v>1487.7399999999998</v>
      </c>
      <c r="O253" t="s">
        <v>23</v>
      </c>
      <c r="P253" t="s">
        <v>31</v>
      </c>
      <c r="Q253" t="s">
        <v>32</v>
      </c>
    </row>
    <row r="254" spans="1:17" x14ac:dyDescent="0.3">
      <c r="A254" t="s">
        <v>332</v>
      </c>
      <c r="B254" s="1">
        <v>45448</v>
      </c>
      <c r="C254" t="s">
        <v>49</v>
      </c>
      <c r="D254" t="s">
        <v>27</v>
      </c>
      <c r="E254" t="s">
        <v>90</v>
      </c>
      <c r="F254" t="s">
        <v>29</v>
      </c>
      <c r="G254" t="s">
        <v>37</v>
      </c>
      <c r="H254">
        <v>6500</v>
      </c>
      <c r="I254">
        <v>13</v>
      </c>
      <c r="J254">
        <v>15</v>
      </c>
      <c r="K254">
        <v>5</v>
      </c>
      <c r="L254">
        <v>71825</v>
      </c>
      <c r="M254">
        <v>63392.45</v>
      </c>
      <c r="N254">
        <f t="shared" si="4"/>
        <v>8432.5500000000029</v>
      </c>
      <c r="O254" t="s">
        <v>23</v>
      </c>
      <c r="P254" t="s">
        <v>31</v>
      </c>
      <c r="Q254" t="s">
        <v>32</v>
      </c>
    </row>
    <row r="255" spans="1:17" x14ac:dyDescent="0.3">
      <c r="A255" t="s">
        <v>333</v>
      </c>
      <c r="B255" s="1">
        <v>45399</v>
      </c>
      <c r="C255" t="s">
        <v>49</v>
      </c>
      <c r="D255" t="s">
        <v>19</v>
      </c>
      <c r="E255" t="s">
        <v>61</v>
      </c>
      <c r="F255" t="s">
        <v>29</v>
      </c>
      <c r="G255" t="s">
        <v>43</v>
      </c>
      <c r="H255">
        <v>2800</v>
      </c>
      <c r="I255">
        <v>15</v>
      </c>
      <c r="J255">
        <v>5</v>
      </c>
      <c r="K255">
        <v>15</v>
      </c>
      <c r="L255">
        <v>39900</v>
      </c>
      <c r="M255">
        <v>40038.870000000003</v>
      </c>
      <c r="N255">
        <f t="shared" si="4"/>
        <v>-138.87000000000262</v>
      </c>
      <c r="O255" t="s">
        <v>38</v>
      </c>
      <c r="P255" t="s">
        <v>24</v>
      </c>
      <c r="Q255" t="s">
        <v>39</v>
      </c>
    </row>
    <row r="256" spans="1:17" x14ac:dyDescent="0.3">
      <c r="A256" t="s">
        <v>334</v>
      </c>
      <c r="B256" s="1">
        <v>45408</v>
      </c>
      <c r="C256" t="s">
        <v>49</v>
      </c>
      <c r="D256" t="s">
        <v>35</v>
      </c>
      <c r="E256" t="s">
        <v>45</v>
      </c>
      <c r="F256" t="s">
        <v>46</v>
      </c>
      <c r="G256" t="s">
        <v>47</v>
      </c>
      <c r="H256">
        <v>15000</v>
      </c>
      <c r="I256">
        <v>12</v>
      </c>
      <c r="J256">
        <v>15</v>
      </c>
      <c r="K256">
        <v>10</v>
      </c>
      <c r="L256">
        <v>153000</v>
      </c>
      <c r="M256">
        <v>148106.70000000001</v>
      </c>
      <c r="N256">
        <f t="shared" si="4"/>
        <v>4893.2999999999884</v>
      </c>
      <c r="O256" t="s">
        <v>23</v>
      </c>
      <c r="P256" t="s">
        <v>31</v>
      </c>
      <c r="Q256" t="s">
        <v>32</v>
      </c>
    </row>
    <row r="257" spans="1:17" x14ac:dyDescent="0.3">
      <c r="A257" t="s">
        <v>335</v>
      </c>
      <c r="B257" s="1">
        <v>45295</v>
      </c>
      <c r="C257" t="s">
        <v>18</v>
      </c>
      <c r="D257" t="s">
        <v>19</v>
      </c>
      <c r="E257" t="s">
        <v>81</v>
      </c>
      <c r="F257" t="s">
        <v>21</v>
      </c>
      <c r="G257" t="s">
        <v>82</v>
      </c>
      <c r="H257">
        <v>8000</v>
      </c>
      <c r="I257">
        <v>8</v>
      </c>
      <c r="J257">
        <v>15</v>
      </c>
      <c r="K257">
        <v>25</v>
      </c>
      <c r="L257">
        <v>54400</v>
      </c>
      <c r="M257">
        <v>50505.11</v>
      </c>
      <c r="N257">
        <f t="shared" si="4"/>
        <v>3894.8899999999994</v>
      </c>
      <c r="O257" t="s">
        <v>38</v>
      </c>
      <c r="P257" t="s">
        <v>31</v>
      </c>
      <c r="Q257" t="s">
        <v>39</v>
      </c>
    </row>
    <row r="258" spans="1:17" x14ac:dyDescent="0.3">
      <c r="A258" t="s">
        <v>336</v>
      </c>
      <c r="B258" s="1">
        <v>45472</v>
      </c>
      <c r="C258" t="s">
        <v>18</v>
      </c>
      <c r="D258" t="s">
        <v>19</v>
      </c>
      <c r="E258" t="s">
        <v>50</v>
      </c>
      <c r="F258" t="s">
        <v>21</v>
      </c>
      <c r="G258" t="s">
        <v>51</v>
      </c>
      <c r="H258">
        <v>4500</v>
      </c>
      <c r="I258">
        <v>14</v>
      </c>
      <c r="J258">
        <v>10</v>
      </c>
      <c r="K258">
        <v>10</v>
      </c>
      <c r="L258">
        <v>56700</v>
      </c>
      <c r="M258">
        <v>56303.5</v>
      </c>
      <c r="N258">
        <f t="shared" si="4"/>
        <v>396.5</v>
      </c>
      <c r="O258" t="s">
        <v>23</v>
      </c>
      <c r="P258" t="s">
        <v>31</v>
      </c>
      <c r="Q258" t="s">
        <v>32</v>
      </c>
    </row>
    <row r="259" spans="1:17" x14ac:dyDescent="0.3">
      <c r="A259" t="s">
        <v>337</v>
      </c>
      <c r="B259" s="1">
        <v>45295</v>
      </c>
      <c r="C259" t="s">
        <v>18</v>
      </c>
      <c r="D259" t="s">
        <v>27</v>
      </c>
      <c r="E259" t="s">
        <v>107</v>
      </c>
      <c r="F259" t="s">
        <v>108</v>
      </c>
      <c r="G259" t="s">
        <v>109</v>
      </c>
      <c r="H259">
        <v>18000</v>
      </c>
      <c r="I259">
        <v>1</v>
      </c>
      <c r="J259">
        <v>15</v>
      </c>
      <c r="K259">
        <v>5</v>
      </c>
      <c r="L259">
        <v>15300</v>
      </c>
      <c r="M259">
        <v>14881.81</v>
      </c>
      <c r="N259">
        <f t="shared" ref="N259:N322" si="5">L259-M259</f>
        <v>418.19000000000051</v>
      </c>
      <c r="O259" t="s">
        <v>23</v>
      </c>
      <c r="P259" t="s">
        <v>31</v>
      </c>
      <c r="Q259" t="s">
        <v>32</v>
      </c>
    </row>
    <row r="260" spans="1:17" x14ac:dyDescent="0.3">
      <c r="A260" t="s">
        <v>338</v>
      </c>
      <c r="B260" s="1">
        <v>45453</v>
      </c>
      <c r="C260" t="s">
        <v>34</v>
      </c>
      <c r="D260" t="s">
        <v>92</v>
      </c>
      <c r="E260" t="s">
        <v>54</v>
      </c>
      <c r="F260" t="s">
        <v>46</v>
      </c>
      <c r="G260" t="s">
        <v>55</v>
      </c>
      <c r="H260">
        <v>4500</v>
      </c>
      <c r="I260">
        <v>9</v>
      </c>
      <c r="J260">
        <v>10</v>
      </c>
      <c r="K260">
        <v>20</v>
      </c>
      <c r="L260">
        <v>36450</v>
      </c>
      <c r="M260">
        <v>35048.21</v>
      </c>
      <c r="N260">
        <f t="shared" si="5"/>
        <v>1401.7900000000009</v>
      </c>
      <c r="O260" t="s">
        <v>38</v>
      </c>
      <c r="P260" t="s">
        <v>31</v>
      </c>
      <c r="Q260" t="s">
        <v>39</v>
      </c>
    </row>
    <row r="261" spans="1:17" x14ac:dyDescent="0.3">
      <c r="A261" t="s">
        <v>339</v>
      </c>
      <c r="B261" s="1">
        <v>45293</v>
      </c>
      <c r="C261" t="s">
        <v>34</v>
      </c>
      <c r="D261" t="s">
        <v>70</v>
      </c>
      <c r="E261" t="s">
        <v>42</v>
      </c>
      <c r="F261" t="s">
        <v>29</v>
      </c>
      <c r="G261" t="s">
        <v>43</v>
      </c>
      <c r="H261">
        <v>500</v>
      </c>
      <c r="I261">
        <v>13</v>
      </c>
      <c r="J261">
        <v>10</v>
      </c>
      <c r="K261">
        <v>20</v>
      </c>
      <c r="L261">
        <v>5850</v>
      </c>
      <c r="M261">
        <v>5976.72</v>
      </c>
      <c r="N261">
        <f t="shared" si="5"/>
        <v>-126.72000000000025</v>
      </c>
      <c r="O261" t="s">
        <v>38</v>
      </c>
      <c r="P261" t="s">
        <v>24</v>
      </c>
      <c r="Q261" t="s">
        <v>39</v>
      </c>
    </row>
    <row r="262" spans="1:17" x14ac:dyDescent="0.3">
      <c r="A262" t="s">
        <v>340</v>
      </c>
      <c r="B262" s="1">
        <v>45298</v>
      </c>
      <c r="C262" t="s">
        <v>34</v>
      </c>
      <c r="D262" t="s">
        <v>41</v>
      </c>
      <c r="E262" t="s">
        <v>75</v>
      </c>
      <c r="F262" t="s">
        <v>76</v>
      </c>
      <c r="G262" t="s">
        <v>77</v>
      </c>
      <c r="H262">
        <v>8000</v>
      </c>
      <c r="I262">
        <v>12</v>
      </c>
      <c r="J262">
        <v>5</v>
      </c>
      <c r="K262">
        <v>0</v>
      </c>
      <c r="L262">
        <v>91200</v>
      </c>
      <c r="M262">
        <v>86769.83</v>
      </c>
      <c r="N262">
        <f t="shared" si="5"/>
        <v>4430.1699999999983</v>
      </c>
      <c r="O262" t="s">
        <v>23</v>
      </c>
      <c r="P262" t="s">
        <v>31</v>
      </c>
      <c r="Q262" t="s">
        <v>32</v>
      </c>
    </row>
    <row r="263" spans="1:17" x14ac:dyDescent="0.3">
      <c r="A263" t="s">
        <v>341</v>
      </c>
      <c r="B263" s="1">
        <v>45369</v>
      </c>
      <c r="C263" t="s">
        <v>53</v>
      </c>
      <c r="D263" t="s">
        <v>92</v>
      </c>
      <c r="E263" t="s">
        <v>20</v>
      </c>
      <c r="F263" t="s">
        <v>21</v>
      </c>
      <c r="G263" t="s">
        <v>22</v>
      </c>
      <c r="H263">
        <v>6000</v>
      </c>
      <c r="I263">
        <v>1</v>
      </c>
      <c r="J263">
        <v>15</v>
      </c>
      <c r="K263">
        <v>25</v>
      </c>
      <c r="L263">
        <v>5100</v>
      </c>
      <c r="M263">
        <v>4715.74</v>
      </c>
      <c r="N263">
        <f t="shared" si="5"/>
        <v>384.26000000000022</v>
      </c>
      <c r="O263" t="s">
        <v>38</v>
      </c>
      <c r="P263" t="s">
        <v>31</v>
      </c>
      <c r="Q263" t="s">
        <v>39</v>
      </c>
    </row>
    <row r="264" spans="1:17" x14ac:dyDescent="0.3">
      <c r="A264" t="s">
        <v>342</v>
      </c>
      <c r="B264" s="1">
        <v>45450</v>
      </c>
      <c r="C264" t="s">
        <v>49</v>
      </c>
      <c r="D264" t="s">
        <v>35</v>
      </c>
      <c r="E264" t="s">
        <v>90</v>
      </c>
      <c r="F264" t="s">
        <v>29</v>
      </c>
      <c r="G264" t="s">
        <v>37</v>
      </c>
      <c r="H264">
        <v>6500</v>
      </c>
      <c r="I264">
        <v>6</v>
      </c>
      <c r="J264">
        <v>5</v>
      </c>
      <c r="K264">
        <v>0</v>
      </c>
      <c r="L264">
        <v>37050</v>
      </c>
      <c r="M264">
        <v>37373.83</v>
      </c>
      <c r="N264">
        <f t="shared" si="5"/>
        <v>-323.83000000000175</v>
      </c>
      <c r="O264" t="s">
        <v>23</v>
      </c>
      <c r="P264" t="s">
        <v>24</v>
      </c>
      <c r="Q264" t="s">
        <v>25</v>
      </c>
    </row>
    <row r="265" spans="1:17" x14ac:dyDescent="0.3">
      <c r="A265" t="s">
        <v>343</v>
      </c>
      <c r="B265" s="1">
        <v>45408</v>
      </c>
      <c r="C265" t="s">
        <v>18</v>
      </c>
      <c r="D265" t="s">
        <v>70</v>
      </c>
      <c r="E265" t="s">
        <v>167</v>
      </c>
      <c r="F265" t="s">
        <v>21</v>
      </c>
      <c r="G265" t="s">
        <v>82</v>
      </c>
      <c r="H265">
        <v>7000</v>
      </c>
      <c r="I265">
        <v>8</v>
      </c>
      <c r="J265">
        <v>5</v>
      </c>
      <c r="K265">
        <v>10</v>
      </c>
      <c r="L265">
        <v>53200</v>
      </c>
      <c r="M265">
        <v>46052.01</v>
      </c>
      <c r="N265">
        <f t="shared" si="5"/>
        <v>7147.989999999998</v>
      </c>
      <c r="O265" t="s">
        <v>38</v>
      </c>
      <c r="P265" t="s">
        <v>31</v>
      </c>
      <c r="Q265" t="s">
        <v>39</v>
      </c>
    </row>
    <row r="266" spans="1:17" x14ac:dyDescent="0.3">
      <c r="A266" t="s">
        <v>344</v>
      </c>
      <c r="B266" s="1">
        <v>45315</v>
      </c>
      <c r="C266" t="s">
        <v>53</v>
      </c>
      <c r="D266" t="s">
        <v>27</v>
      </c>
      <c r="E266" t="s">
        <v>54</v>
      </c>
      <c r="F266" t="s">
        <v>46</v>
      </c>
      <c r="G266" t="s">
        <v>55</v>
      </c>
      <c r="H266">
        <v>4500</v>
      </c>
      <c r="I266">
        <v>8</v>
      </c>
      <c r="J266">
        <v>15</v>
      </c>
      <c r="K266">
        <v>15</v>
      </c>
      <c r="L266">
        <v>30600</v>
      </c>
      <c r="M266">
        <v>30423.27</v>
      </c>
      <c r="N266">
        <f t="shared" si="5"/>
        <v>176.72999999999956</v>
      </c>
      <c r="O266" t="s">
        <v>23</v>
      </c>
      <c r="P266" t="s">
        <v>31</v>
      </c>
      <c r="Q266" t="s">
        <v>32</v>
      </c>
    </row>
    <row r="267" spans="1:17" x14ac:dyDescent="0.3">
      <c r="A267" t="s">
        <v>345</v>
      </c>
      <c r="B267" s="1">
        <v>45463</v>
      </c>
      <c r="C267" t="s">
        <v>18</v>
      </c>
      <c r="D267" t="s">
        <v>92</v>
      </c>
      <c r="E267" t="s">
        <v>28</v>
      </c>
      <c r="F267" t="s">
        <v>29</v>
      </c>
      <c r="G267" t="s">
        <v>30</v>
      </c>
      <c r="H267">
        <v>1800</v>
      </c>
      <c r="I267">
        <v>2</v>
      </c>
      <c r="J267">
        <v>5</v>
      </c>
      <c r="K267">
        <v>25</v>
      </c>
      <c r="L267">
        <v>3420</v>
      </c>
      <c r="M267">
        <v>3497.92</v>
      </c>
      <c r="N267">
        <f t="shared" si="5"/>
        <v>-77.920000000000073</v>
      </c>
      <c r="O267" t="s">
        <v>38</v>
      </c>
      <c r="P267" t="s">
        <v>24</v>
      </c>
      <c r="Q267" t="s">
        <v>39</v>
      </c>
    </row>
    <row r="268" spans="1:17" x14ac:dyDescent="0.3">
      <c r="A268" t="s">
        <v>346</v>
      </c>
      <c r="B268" s="1">
        <v>45306</v>
      </c>
      <c r="C268" t="s">
        <v>53</v>
      </c>
      <c r="D268" t="s">
        <v>41</v>
      </c>
      <c r="E268" t="s">
        <v>129</v>
      </c>
      <c r="F268" t="s">
        <v>21</v>
      </c>
      <c r="G268" t="s">
        <v>82</v>
      </c>
      <c r="H268">
        <v>3500</v>
      </c>
      <c r="I268">
        <v>2</v>
      </c>
      <c r="J268">
        <v>5</v>
      </c>
      <c r="K268">
        <v>5</v>
      </c>
      <c r="L268">
        <v>6650</v>
      </c>
      <c r="M268">
        <v>6372.35</v>
      </c>
      <c r="N268">
        <f t="shared" si="5"/>
        <v>277.64999999999964</v>
      </c>
      <c r="O268" t="s">
        <v>23</v>
      </c>
      <c r="P268" t="s">
        <v>31</v>
      </c>
      <c r="Q268" t="s">
        <v>32</v>
      </c>
    </row>
    <row r="269" spans="1:17" x14ac:dyDescent="0.3">
      <c r="A269" t="s">
        <v>347</v>
      </c>
      <c r="B269" s="1">
        <v>45448</v>
      </c>
      <c r="C269" t="s">
        <v>18</v>
      </c>
      <c r="D269" t="s">
        <v>70</v>
      </c>
      <c r="E269" t="s">
        <v>20</v>
      </c>
      <c r="F269" t="s">
        <v>21</v>
      </c>
      <c r="G269" t="s">
        <v>22</v>
      </c>
      <c r="H269">
        <v>6000</v>
      </c>
      <c r="I269">
        <v>1</v>
      </c>
      <c r="J269">
        <v>10</v>
      </c>
      <c r="K269">
        <v>15</v>
      </c>
      <c r="L269">
        <v>5400</v>
      </c>
      <c r="M269">
        <v>5130.6499999999996</v>
      </c>
      <c r="N269">
        <f t="shared" si="5"/>
        <v>269.35000000000036</v>
      </c>
      <c r="O269" t="s">
        <v>38</v>
      </c>
      <c r="P269" t="s">
        <v>31</v>
      </c>
      <c r="Q269" t="s">
        <v>39</v>
      </c>
    </row>
    <row r="270" spans="1:17" x14ac:dyDescent="0.3">
      <c r="A270" t="s">
        <v>348</v>
      </c>
      <c r="B270" s="1">
        <v>45446</v>
      </c>
      <c r="C270" t="s">
        <v>49</v>
      </c>
      <c r="D270" t="s">
        <v>41</v>
      </c>
      <c r="E270" t="s">
        <v>155</v>
      </c>
      <c r="F270" t="s">
        <v>21</v>
      </c>
      <c r="G270" t="s">
        <v>72</v>
      </c>
      <c r="H270">
        <v>35000</v>
      </c>
      <c r="I270">
        <v>3</v>
      </c>
      <c r="J270">
        <v>5</v>
      </c>
      <c r="K270">
        <v>20</v>
      </c>
      <c r="L270">
        <v>99750</v>
      </c>
      <c r="M270">
        <v>95616.44</v>
      </c>
      <c r="N270">
        <f t="shared" si="5"/>
        <v>4133.5599999999977</v>
      </c>
      <c r="O270" t="s">
        <v>38</v>
      </c>
      <c r="P270" t="s">
        <v>31</v>
      </c>
      <c r="Q270" t="s">
        <v>39</v>
      </c>
    </row>
    <row r="271" spans="1:17" x14ac:dyDescent="0.3">
      <c r="A271" t="s">
        <v>349</v>
      </c>
      <c r="B271" s="1">
        <v>45294</v>
      </c>
      <c r="C271" t="s">
        <v>53</v>
      </c>
      <c r="D271" t="s">
        <v>70</v>
      </c>
      <c r="E271" t="s">
        <v>71</v>
      </c>
      <c r="F271" t="s">
        <v>21</v>
      </c>
      <c r="G271" t="s">
        <v>72</v>
      </c>
      <c r="H271">
        <v>60000</v>
      </c>
      <c r="I271">
        <v>13</v>
      </c>
      <c r="J271">
        <v>10</v>
      </c>
      <c r="K271">
        <v>0</v>
      </c>
      <c r="L271">
        <v>702000</v>
      </c>
      <c r="M271">
        <v>720272.37</v>
      </c>
      <c r="N271">
        <f t="shared" si="5"/>
        <v>-18272.369999999995</v>
      </c>
      <c r="O271" t="s">
        <v>23</v>
      </c>
      <c r="P271" t="s">
        <v>24</v>
      </c>
      <c r="Q271" t="s">
        <v>25</v>
      </c>
    </row>
    <row r="272" spans="1:17" x14ac:dyDescent="0.3">
      <c r="A272" t="s">
        <v>350</v>
      </c>
      <c r="B272" s="1">
        <v>45315</v>
      </c>
      <c r="C272" t="s">
        <v>34</v>
      </c>
      <c r="D272" t="s">
        <v>41</v>
      </c>
      <c r="E272" t="s">
        <v>57</v>
      </c>
      <c r="F272" t="s">
        <v>46</v>
      </c>
      <c r="G272" t="s">
        <v>58</v>
      </c>
      <c r="H272">
        <v>18000</v>
      </c>
      <c r="I272">
        <v>10</v>
      </c>
      <c r="J272">
        <v>10</v>
      </c>
      <c r="K272">
        <v>25</v>
      </c>
      <c r="L272">
        <v>162000</v>
      </c>
      <c r="M272">
        <v>168482.63</v>
      </c>
      <c r="N272">
        <f t="shared" si="5"/>
        <v>-6482.6300000000047</v>
      </c>
      <c r="O272" t="s">
        <v>38</v>
      </c>
      <c r="P272" t="s">
        <v>24</v>
      </c>
      <c r="Q272" t="s">
        <v>39</v>
      </c>
    </row>
    <row r="273" spans="1:17" x14ac:dyDescent="0.3">
      <c r="A273" t="s">
        <v>351</v>
      </c>
      <c r="B273" s="1">
        <v>45337</v>
      </c>
      <c r="C273" t="s">
        <v>53</v>
      </c>
      <c r="D273" t="s">
        <v>70</v>
      </c>
      <c r="E273" t="s">
        <v>151</v>
      </c>
      <c r="F273" t="s">
        <v>141</v>
      </c>
      <c r="G273" t="s">
        <v>142</v>
      </c>
      <c r="H273">
        <v>3500</v>
      </c>
      <c r="I273">
        <v>5</v>
      </c>
      <c r="J273">
        <v>5</v>
      </c>
      <c r="K273">
        <v>20</v>
      </c>
      <c r="L273">
        <v>16625</v>
      </c>
      <c r="M273">
        <v>14209.36</v>
      </c>
      <c r="N273">
        <f t="shared" si="5"/>
        <v>2415.6399999999994</v>
      </c>
      <c r="O273" t="s">
        <v>38</v>
      </c>
      <c r="P273" t="s">
        <v>31</v>
      </c>
      <c r="Q273" t="s">
        <v>39</v>
      </c>
    </row>
    <row r="274" spans="1:17" x14ac:dyDescent="0.3">
      <c r="A274" t="s">
        <v>352</v>
      </c>
      <c r="B274" s="1">
        <v>45346</v>
      </c>
      <c r="C274" t="s">
        <v>53</v>
      </c>
      <c r="D274" t="s">
        <v>27</v>
      </c>
      <c r="E274" t="s">
        <v>28</v>
      </c>
      <c r="F274" t="s">
        <v>29</v>
      </c>
      <c r="G274" t="s">
        <v>30</v>
      </c>
      <c r="H274">
        <v>1800</v>
      </c>
      <c r="I274">
        <v>15</v>
      </c>
      <c r="J274">
        <v>10</v>
      </c>
      <c r="K274">
        <v>15</v>
      </c>
      <c r="L274">
        <v>24300</v>
      </c>
      <c r="M274">
        <v>25088.43</v>
      </c>
      <c r="N274">
        <f t="shared" si="5"/>
        <v>-788.43000000000029</v>
      </c>
      <c r="O274" t="s">
        <v>38</v>
      </c>
      <c r="P274" t="s">
        <v>24</v>
      </c>
      <c r="Q274" t="s">
        <v>39</v>
      </c>
    </row>
    <row r="275" spans="1:17" x14ac:dyDescent="0.3">
      <c r="A275" t="s">
        <v>353</v>
      </c>
      <c r="B275" s="1">
        <v>45361</v>
      </c>
      <c r="C275" t="s">
        <v>18</v>
      </c>
      <c r="D275" t="s">
        <v>41</v>
      </c>
      <c r="E275" t="s">
        <v>63</v>
      </c>
      <c r="F275" t="s">
        <v>64</v>
      </c>
      <c r="G275" t="s">
        <v>65</v>
      </c>
      <c r="H275">
        <v>4000</v>
      </c>
      <c r="I275">
        <v>13</v>
      </c>
      <c r="J275">
        <v>10</v>
      </c>
      <c r="K275">
        <v>5</v>
      </c>
      <c r="L275">
        <v>46800</v>
      </c>
      <c r="M275">
        <v>47625.05</v>
      </c>
      <c r="N275">
        <f t="shared" si="5"/>
        <v>-825.05000000000291</v>
      </c>
      <c r="O275" t="s">
        <v>23</v>
      </c>
      <c r="P275" t="s">
        <v>24</v>
      </c>
      <c r="Q275" t="s">
        <v>25</v>
      </c>
    </row>
    <row r="276" spans="1:17" x14ac:dyDescent="0.3">
      <c r="A276" t="s">
        <v>354</v>
      </c>
      <c r="B276" s="1">
        <v>45322</v>
      </c>
      <c r="C276" t="s">
        <v>49</v>
      </c>
      <c r="D276" t="s">
        <v>19</v>
      </c>
      <c r="E276" t="s">
        <v>155</v>
      </c>
      <c r="F276" t="s">
        <v>21</v>
      </c>
      <c r="G276" t="s">
        <v>72</v>
      </c>
      <c r="H276">
        <v>35000</v>
      </c>
      <c r="I276">
        <v>11</v>
      </c>
      <c r="J276">
        <v>15</v>
      </c>
      <c r="K276">
        <v>10</v>
      </c>
      <c r="L276">
        <v>327250</v>
      </c>
      <c r="M276">
        <v>307876.06</v>
      </c>
      <c r="N276">
        <f t="shared" si="5"/>
        <v>19373.940000000002</v>
      </c>
      <c r="O276" t="s">
        <v>23</v>
      </c>
      <c r="P276" t="s">
        <v>31</v>
      </c>
      <c r="Q276" t="s">
        <v>32</v>
      </c>
    </row>
    <row r="277" spans="1:17" x14ac:dyDescent="0.3">
      <c r="A277" t="s">
        <v>355</v>
      </c>
      <c r="B277" s="1">
        <v>45426</v>
      </c>
      <c r="C277" t="s">
        <v>49</v>
      </c>
      <c r="D277" t="s">
        <v>27</v>
      </c>
      <c r="E277" t="s">
        <v>75</v>
      </c>
      <c r="F277" t="s">
        <v>76</v>
      </c>
      <c r="G277" t="s">
        <v>77</v>
      </c>
      <c r="H277">
        <v>8000</v>
      </c>
      <c r="I277">
        <v>14</v>
      </c>
      <c r="J277">
        <v>10</v>
      </c>
      <c r="K277">
        <v>0</v>
      </c>
      <c r="L277">
        <v>100800</v>
      </c>
      <c r="M277">
        <v>96072.62</v>
      </c>
      <c r="N277">
        <f t="shared" si="5"/>
        <v>4727.3800000000047</v>
      </c>
      <c r="O277" t="s">
        <v>23</v>
      </c>
      <c r="P277" t="s">
        <v>31</v>
      </c>
      <c r="Q277" t="s">
        <v>32</v>
      </c>
    </row>
    <row r="278" spans="1:17" x14ac:dyDescent="0.3">
      <c r="A278" t="s">
        <v>356</v>
      </c>
      <c r="B278" s="1">
        <v>45446</v>
      </c>
      <c r="C278" t="s">
        <v>18</v>
      </c>
      <c r="D278" t="s">
        <v>41</v>
      </c>
      <c r="E278" t="s">
        <v>167</v>
      </c>
      <c r="F278" t="s">
        <v>21</v>
      </c>
      <c r="G278" t="s">
        <v>82</v>
      </c>
      <c r="H278">
        <v>7000</v>
      </c>
      <c r="I278">
        <v>14</v>
      </c>
      <c r="J278">
        <v>5</v>
      </c>
      <c r="K278">
        <v>15</v>
      </c>
      <c r="L278">
        <v>93100</v>
      </c>
      <c r="M278">
        <v>85347.72</v>
      </c>
      <c r="N278">
        <f t="shared" si="5"/>
        <v>7752.2799999999988</v>
      </c>
      <c r="O278" t="s">
        <v>38</v>
      </c>
      <c r="P278" t="s">
        <v>31</v>
      </c>
      <c r="Q278" t="s">
        <v>39</v>
      </c>
    </row>
    <row r="279" spans="1:17" x14ac:dyDescent="0.3">
      <c r="A279" t="s">
        <v>357</v>
      </c>
      <c r="B279" s="1">
        <v>45360</v>
      </c>
      <c r="C279" t="s">
        <v>18</v>
      </c>
      <c r="D279" t="s">
        <v>70</v>
      </c>
      <c r="E279" t="s">
        <v>107</v>
      </c>
      <c r="F279" t="s">
        <v>108</v>
      </c>
      <c r="G279" t="s">
        <v>109</v>
      </c>
      <c r="H279">
        <v>18000</v>
      </c>
      <c r="I279">
        <v>11</v>
      </c>
      <c r="J279">
        <v>10</v>
      </c>
      <c r="K279">
        <v>10</v>
      </c>
      <c r="L279">
        <v>178200</v>
      </c>
      <c r="M279">
        <v>181005.69</v>
      </c>
      <c r="N279">
        <f t="shared" si="5"/>
        <v>-2805.6900000000023</v>
      </c>
      <c r="O279" t="s">
        <v>23</v>
      </c>
      <c r="P279" t="s">
        <v>24</v>
      </c>
      <c r="Q279" t="s">
        <v>25</v>
      </c>
    </row>
    <row r="280" spans="1:17" x14ac:dyDescent="0.3">
      <c r="A280" t="s">
        <v>358</v>
      </c>
      <c r="B280" s="1">
        <v>45360</v>
      </c>
      <c r="C280" t="s">
        <v>18</v>
      </c>
      <c r="D280" t="s">
        <v>19</v>
      </c>
      <c r="E280" t="s">
        <v>20</v>
      </c>
      <c r="F280" t="s">
        <v>21</v>
      </c>
      <c r="G280" t="s">
        <v>22</v>
      </c>
      <c r="H280">
        <v>6000</v>
      </c>
      <c r="I280">
        <v>11</v>
      </c>
      <c r="J280">
        <v>5</v>
      </c>
      <c r="K280">
        <v>10</v>
      </c>
      <c r="L280">
        <v>62700</v>
      </c>
      <c r="M280">
        <v>65738.259999999995</v>
      </c>
      <c r="N280">
        <f t="shared" si="5"/>
        <v>-3038.2599999999948</v>
      </c>
      <c r="O280" t="s">
        <v>38</v>
      </c>
      <c r="P280" t="s">
        <v>24</v>
      </c>
      <c r="Q280" t="s">
        <v>39</v>
      </c>
    </row>
    <row r="281" spans="1:17" x14ac:dyDescent="0.3">
      <c r="A281" t="s">
        <v>359</v>
      </c>
      <c r="B281" s="1">
        <v>45391</v>
      </c>
      <c r="C281" t="s">
        <v>49</v>
      </c>
      <c r="D281" t="s">
        <v>41</v>
      </c>
      <c r="E281" t="s">
        <v>155</v>
      </c>
      <c r="F281" t="s">
        <v>21</v>
      </c>
      <c r="G281" t="s">
        <v>72</v>
      </c>
      <c r="H281">
        <v>35000</v>
      </c>
      <c r="I281">
        <v>13</v>
      </c>
      <c r="J281">
        <v>10</v>
      </c>
      <c r="K281">
        <v>25</v>
      </c>
      <c r="L281">
        <v>409500</v>
      </c>
      <c r="M281">
        <v>403920.71</v>
      </c>
      <c r="N281">
        <f t="shared" si="5"/>
        <v>5579.289999999979</v>
      </c>
      <c r="O281" t="s">
        <v>38</v>
      </c>
      <c r="P281" t="s">
        <v>31</v>
      </c>
      <c r="Q281" t="s">
        <v>39</v>
      </c>
    </row>
    <row r="282" spans="1:17" x14ac:dyDescent="0.3">
      <c r="A282" t="s">
        <v>360</v>
      </c>
      <c r="B282" s="1">
        <v>45432</v>
      </c>
      <c r="C282" t="s">
        <v>18</v>
      </c>
      <c r="D282" t="s">
        <v>27</v>
      </c>
      <c r="E282" t="s">
        <v>75</v>
      </c>
      <c r="F282" t="s">
        <v>76</v>
      </c>
      <c r="G282" t="s">
        <v>77</v>
      </c>
      <c r="H282">
        <v>8000</v>
      </c>
      <c r="I282">
        <v>6</v>
      </c>
      <c r="J282">
        <v>15</v>
      </c>
      <c r="K282">
        <v>15</v>
      </c>
      <c r="L282">
        <v>40800</v>
      </c>
      <c r="M282">
        <v>41471.129999999997</v>
      </c>
      <c r="N282">
        <f t="shared" si="5"/>
        <v>-671.12999999999738</v>
      </c>
      <c r="O282" t="s">
        <v>23</v>
      </c>
      <c r="P282" t="s">
        <v>24</v>
      </c>
      <c r="Q282" t="s">
        <v>25</v>
      </c>
    </row>
    <row r="283" spans="1:17" x14ac:dyDescent="0.3">
      <c r="A283" t="s">
        <v>361</v>
      </c>
      <c r="B283" s="1">
        <v>45391</v>
      </c>
      <c r="C283" t="s">
        <v>49</v>
      </c>
      <c r="D283" t="s">
        <v>41</v>
      </c>
      <c r="E283" t="s">
        <v>100</v>
      </c>
      <c r="F283" t="s">
        <v>46</v>
      </c>
      <c r="G283" t="s">
        <v>55</v>
      </c>
      <c r="H283">
        <v>2500</v>
      </c>
      <c r="I283">
        <v>5</v>
      </c>
      <c r="J283">
        <v>5</v>
      </c>
      <c r="K283">
        <v>15</v>
      </c>
      <c r="L283">
        <v>11875</v>
      </c>
      <c r="M283">
        <v>10940.06</v>
      </c>
      <c r="N283">
        <f t="shared" si="5"/>
        <v>934.94000000000051</v>
      </c>
      <c r="O283" t="s">
        <v>38</v>
      </c>
      <c r="P283" t="s">
        <v>31</v>
      </c>
      <c r="Q283" t="s">
        <v>39</v>
      </c>
    </row>
    <row r="284" spans="1:17" x14ac:dyDescent="0.3">
      <c r="A284" t="s">
        <v>362</v>
      </c>
      <c r="B284" s="1">
        <v>45304</v>
      </c>
      <c r="C284" t="s">
        <v>18</v>
      </c>
      <c r="D284" t="s">
        <v>70</v>
      </c>
      <c r="E284" t="s">
        <v>140</v>
      </c>
      <c r="F284" t="s">
        <v>141</v>
      </c>
      <c r="G284" t="s">
        <v>142</v>
      </c>
      <c r="H284">
        <v>12000</v>
      </c>
      <c r="I284">
        <v>7</v>
      </c>
      <c r="J284">
        <v>15</v>
      </c>
      <c r="K284">
        <v>0</v>
      </c>
      <c r="L284">
        <v>71400</v>
      </c>
      <c r="M284">
        <v>73756.55</v>
      </c>
      <c r="N284">
        <f t="shared" si="5"/>
        <v>-2356.5500000000029</v>
      </c>
      <c r="O284" t="s">
        <v>23</v>
      </c>
      <c r="P284" t="s">
        <v>24</v>
      </c>
      <c r="Q284" t="s">
        <v>25</v>
      </c>
    </row>
    <row r="285" spans="1:17" x14ac:dyDescent="0.3">
      <c r="A285" t="s">
        <v>363</v>
      </c>
      <c r="B285" s="1">
        <v>45394</v>
      </c>
      <c r="C285" t="s">
        <v>18</v>
      </c>
      <c r="D285" t="s">
        <v>70</v>
      </c>
      <c r="E285" t="s">
        <v>57</v>
      </c>
      <c r="F285" t="s">
        <v>46</v>
      </c>
      <c r="G285" t="s">
        <v>58</v>
      </c>
      <c r="H285">
        <v>18000</v>
      </c>
      <c r="I285">
        <v>7</v>
      </c>
      <c r="J285">
        <v>5</v>
      </c>
      <c r="K285">
        <v>5</v>
      </c>
      <c r="L285">
        <v>119700</v>
      </c>
      <c r="M285">
        <v>116755.47</v>
      </c>
      <c r="N285">
        <f t="shared" si="5"/>
        <v>2944.5299999999988</v>
      </c>
      <c r="O285" t="s">
        <v>23</v>
      </c>
      <c r="P285" t="s">
        <v>31</v>
      </c>
      <c r="Q285" t="s">
        <v>32</v>
      </c>
    </row>
    <row r="286" spans="1:17" x14ac:dyDescent="0.3">
      <c r="A286" t="s">
        <v>364</v>
      </c>
      <c r="B286" s="1">
        <v>45304</v>
      </c>
      <c r="C286" t="s">
        <v>49</v>
      </c>
      <c r="D286" t="s">
        <v>19</v>
      </c>
      <c r="E286" t="s">
        <v>100</v>
      </c>
      <c r="F286" t="s">
        <v>46</v>
      </c>
      <c r="G286" t="s">
        <v>55</v>
      </c>
      <c r="H286">
        <v>2500</v>
      </c>
      <c r="I286">
        <v>9</v>
      </c>
      <c r="J286">
        <v>15</v>
      </c>
      <c r="K286">
        <v>5</v>
      </c>
      <c r="L286">
        <v>19125</v>
      </c>
      <c r="M286">
        <v>17045.11</v>
      </c>
      <c r="N286">
        <f t="shared" si="5"/>
        <v>2079.8899999999994</v>
      </c>
      <c r="O286" t="s">
        <v>23</v>
      </c>
      <c r="P286" t="s">
        <v>31</v>
      </c>
      <c r="Q286" t="s">
        <v>32</v>
      </c>
    </row>
    <row r="287" spans="1:17" x14ac:dyDescent="0.3">
      <c r="A287" t="s">
        <v>365</v>
      </c>
      <c r="B287" s="1">
        <v>45319</v>
      </c>
      <c r="C287" t="s">
        <v>53</v>
      </c>
      <c r="D287" t="s">
        <v>70</v>
      </c>
      <c r="E287" t="s">
        <v>100</v>
      </c>
      <c r="F287" t="s">
        <v>46</v>
      </c>
      <c r="G287" t="s">
        <v>55</v>
      </c>
      <c r="H287">
        <v>2500</v>
      </c>
      <c r="I287">
        <v>2</v>
      </c>
      <c r="J287">
        <v>15</v>
      </c>
      <c r="K287">
        <v>20</v>
      </c>
      <c r="L287">
        <v>4250</v>
      </c>
      <c r="M287">
        <v>3939.64</v>
      </c>
      <c r="N287">
        <f t="shared" si="5"/>
        <v>310.36000000000013</v>
      </c>
      <c r="O287" t="s">
        <v>38</v>
      </c>
      <c r="P287" t="s">
        <v>31</v>
      </c>
      <c r="Q287" t="s">
        <v>39</v>
      </c>
    </row>
    <row r="288" spans="1:17" x14ac:dyDescent="0.3">
      <c r="A288" t="s">
        <v>366</v>
      </c>
      <c r="B288" s="1">
        <v>45324</v>
      </c>
      <c r="C288" t="s">
        <v>18</v>
      </c>
      <c r="D288" t="s">
        <v>41</v>
      </c>
      <c r="E288" t="s">
        <v>61</v>
      </c>
      <c r="F288" t="s">
        <v>29</v>
      </c>
      <c r="G288" t="s">
        <v>43</v>
      </c>
      <c r="H288">
        <v>2800</v>
      </c>
      <c r="I288">
        <v>11</v>
      </c>
      <c r="J288">
        <v>15</v>
      </c>
      <c r="K288">
        <v>10</v>
      </c>
      <c r="L288">
        <v>26180</v>
      </c>
      <c r="M288">
        <v>27229.02</v>
      </c>
      <c r="N288">
        <f t="shared" si="5"/>
        <v>-1049.0200000000004</v>
      </c>
      <c r="O288" t="s">
        <v>23</v>
      </c>
      <c r="P288" t="s">
        <v>24</v>
      </c>
      <c r="Q288" t="s">
        <v>25</v>
      </c>
    </row>
    <row r="289" spans="1:17" x14ac:dyDescent="0.3">
      <c r="A289" t="s">
        <v>367</v>
      </c>
      <c r="B289" s="1">
        <v>45315</v>
      </c>
      <c r="C289" t="s">
        <v>53</v>
      </c>
      <c r="D289" t="s">
        <v>19</v>
      </c>
      <c r="E289" t="s">
        <v>42</v>
      </c>
      <c r="F289" t="s">
        <v>29</v>
      </c>
      <c r="G289" t="s">
        <v>43</v>
      </c>
      <c r="H289">
        <v>500</v>
      </c>
      <c r="I289">
        <v>4</v>
      </c>
      <c r="J289">
        <v>10</v>
      </c>
      <c r="K289">
        <v>15</v>
      </c>
      <c r="L289">
        <v>1800</v>
      </c>
      <c r="M289">
        <v>1619.04</v>
      </c>
      <c r="N289">
        <f t="shared" si="5"/>
        <v>180.96000000000004</v>
      </c>
      <c r="O289" t="s">
        <v>38</v>
      </c>
      <c r="P289" t="s">
        <v>31</v>
      </c>
      <c r="Q289" t="s">
        <v>39</v>
      </c>
    </row>
    <row r="290" spans="1:17" x14ac:dyDescent="0.3">
      <c r="A290" t="s">
        <v>368</v>
      </c>
      <c r="B290" s="1">
        <v>45336</v>
      </c>
      <c r="C290" t="s">
        <v>53</v>
      </c>
      <c r="D290" t="s">
        <v>41</v>
      </c>
      <c r="E290" t="s">
        <v>50</v>
      </c>
      <c r="F290" t="s">
        <v>21</v>
      </c>
      <c r="G290" t="s">
        <v>51</v>
      </c>
      <c r="H290">
        <v>4500</v>
      </c>
      <c r="I290">
        <v>2</v>
      </c>
      <c r="J290">
        <v>15</v>
      </c>
      <c r="K290">
        <v>20</v>
      </c>
      <c r="L290">
        <v>7650</v>
      </c>
      <c r="M290">
        <v>7742.03</v>
      </c>
      <c r="N290">
        <f t="shared" si="5"/>
        <v>-92.029999999999745</v>
      </c>
      <c r="O290" t="s">
        <v>38</v>
      </c>
      <c r="P290" t="s">
        <v>24</v>
      </c>
      <c r="Q290" t="s">
        <v>39</v>
      </c>
    </row>
    <row r="291" spans="1:17" x14ac:dyDescent="0.3">
      <c r="A291" t="s">
        <v>369</v>
      </c>
      <c r="B291" s="1">
        <v>45314</v>
      </c>
      <c r="C291" t="s">
        <v>53</v>
      </c>
      <c r="D291" t="s">
        <v>92</v>
      </c>
      <c r="E291" t="s">
        <v>90</v>
      </c>
      <c r="F291" t="s">
        <v>29</v>
      </c>
      <c r="G291" t="s">
        <v>37</v>
      </c>
      <c r="H291">
        <v>6500</v>
      </c>
      <c r="I291">
        <v>2</v>
      </c>
      <c r="J291">
        <v>10</v>
      </c>
      <c r="K291">
        <v>20</v>
      </c>
      <c r="L291">
        <v>11700</v>
      </c>
      <c r="M291">
        <v>11021.74</v>
      </c>
      <c r="N291">
        <f t="shared" si="5"/>
        <v>678.26000000000022</v>
      </c>
      <c r="O291" t="s">
        <v>38</v>
      </c>
      <c r="P291" t="s">
        <v>31</v>
      </c>
      <c r="Q291" t="s">
        <v>39</v>
      </c>
    </row>
    <row r="292" spans="1:17" x14ac:dyDescent="0.3">
      <c r="A292" t="s">
        <v>370</v>
      </c>
      <c r="B292" s="1">
        <v>45356</v>
      </c>
      <c r="C292" t="s">
        <v>53</v>
      </c>
      <c r="D292" t="s">
        <v>92</v>
      </c>
      <c r="E292" t="s">
        <v>167</v>
      </c>
      <c r="F292" t="s">
        <v>21</v>
      </c>
      <c r="G292" t="s">
        <v>82</v>
      </c>
      <c r="H292">
        <v>7000</v>
      </c>
      <c r="I292">
        <v>2</v>
      </c>
      <c r="J292">
        <v>5</v>
      </c>
      <c r="K292">
        <v>0</v>
      </c>
      <c r="L292">
        <v>13300</v>
      </c>
      <c r="M292">
        <v>11938.66</v>
      </c>
      <c r="N292">
        <f t="shared" si="5"/>
        <v>1361.3400000000001</v>
      </c>
      <c r="O292" t="s">
        <v>23</v>
      </c>
      <c r="P292" t="s">
        <v>31</v>
      </c>
      <c r="Q292" t="s">
        <v>32</v>
      </c>
    </row>
    <row r="293" spans="1:17" x14ac:dyDescent="0.3">
      <c r="A293" t="s">
        <v>371</v>
      </c>
      <c r="B293" s="1">
        <v>45294</v>
      </c>
      <c r="C293" t="s">
        <v>18</v>
      </c>
      <c r="D293" t="s">
        <v>41</v>
      </c>
      <c r="E293" t="s">
        <v>20</v>
      </c>
      <c r="F293" t="s">
        <v>21</v>
      </c>
      <c r="G293" t="s">
        <v>22</v>
      </c>
      <c r="H293">
        <v>6000</v>
      </c>
      <c r="I293">
        <v>10</v>
      </c>
      <c r="J293">
        <v>10</v>
      </c>
      <c r="K293">
        <v>10</v>
      </c>
      <c r="L293">
        <v>54000</v>
      </c>
      <c r="M293">
        <v>55931.82</v>
      </c>
      <c r="N293">
        <f t="shared" si="5"/>
        <v>-1931.8199999999997</v>
      </c>
      <c r="O293" t="s">
        <v>23</v>
      </c>
      <c r="P293" t="s">
        <v>24</v>
      </c>
      <c r="Q293" t="s">
        <v>25</v>
      </c>
    </row>
    <row r="294" spans="1:17" x14ac:dyDescent="0.3">
      <c r="A294" t="s">
        <v>372</v>
      </c>
      <c r="B294" s="1">
        <v>45380</v>
      </c>
      <c r="C294" t="s">
        <v>18</v>
      </c>
      <c r="D294" t="s">
        <v>27</v>
      </c>
      <c r="E294" t="s">
        <v>63</v>
      </c>
      <c r="F294" t="s">
        <v>64</v>
      </c>
      <c r="G294" t="s">
        <v>65</v>
      </c>
      <c r="H294">
        <v>4000</v>
      </c>
      <c r="I294">
        <v>3</v>
      </c>
      <c r="J294">
        <v>5</v>
      </c>
      <c r="K294">
        <v>10</v>
      </c>
      <c r="L294">
        <v>11400</v>
      </c>
      <c r="M294">
        <v>10025.450000000001</v>
      </c>
      <c r="N294">
        <f t="shared" si="5"/>
        <v>1374.5499999999993</v>
      </c>
      <c r="O294" t="s">
        <v>38</v>
      </c>
      <c r="P294" t="s">
        <v>31</v>
      </c>
      <c r="Q294" t="s">
        <v>39</v>
      </c>
    </row>
    <row r="295" spans="1:17" x14ac:dyDescent="0.3">
      <c r="A295" t="s">
        <v>373</v>
      </c>
      <c r="B295" s="1">
        <v>45346</v>
      </c>
      <c r="C295" t="s">
        <v>18</v>
      </c>
      <c r="D295" t="s">
        <v>19</v>
      </c>
      <c r="E295" t="s">
        <v>151</v>
      </c>
      <c r="F295" t="s">
        <v>141</v>
      </c>
      <c r="G295" t="s">
        <v>142</v>
      </c>
      <c r="H295">
        <v>3500</v>
      </c>
      <c r="I295">
        <v>11</v>
      </c>
      <c r="J295">
        <v>10</v>
      </c>
      <c r="K295">
        <v>5</v>
      </c>
      <c r="L295">
        <v>34650</v>
      </c>
      <c r="M295">
        <v>30607.040000000001</v>
      </c>
      <c r="N295">
        <f t="shared" si="5"/>
        <v>4042.9599999999991</v>
      </c>
      <c r="O295" t="s">
        <v>23</v>
      </c>
      <c r="P295" t="s">
        <v>31</v>
      </c>
      <c r="Q295" t="s">
        <v>32</v>
      </c>
    </row>
    <row r="296" spans="1:17" x14ac:dyDescent="0.3">
      <c r="A296" t="s">
        <v>374</v>
      </c>
      <c r="B296" s="1">
        <v>45456</v>
      </c>
      <c r="C296" t="s">
        <v>53</v>
      </c>
      <c r="D296" t="s">
        <v>92</v>
      </c>
      <c r="E296" t="s">
        <v>81</v>
      </c>
      <c r="F296" t="s">
        <v>21</v>
      </c>
      <c r="G296" t="s">
        <v>82</v>
      </c>
      <c r="H296">
        <v>8000</v>
      </c>
      <c r="I296">
        <v>7</v>
      </c>
      <c r="J296">
        <v>5</v>
      </c>
      <c r="K296">
        <v>10</v>
      </c>
      <c r="L296">
        <v>53200</v>
      </c>
      <c r="M296">
        <v>50337.09</v>
      </c>
      <c r="N296">
        <f t="shared" si="5"/>
        <v>2862.9100000000035</v>
      </c>
      <c r="O296" t="s">
        <v>38</v>
      </c>
      <c r="P296" t="s">
        <v>31</v>
      </c>
      <c r="Q296" t="s">
        <v>39</v>
      </c>
    </row>
    <row r="297" spans="1:17" x14ac:dyDescent="0.3">
      <c r="A297" t="s">
        <v>375</v>
      </c>
      <c r="B297" s="1">
        <v>45339</v>
      </c>
      <c r="C297" t="s">
        <v>49</v>
      </c>
      <c r="D297" t="s">
        <v>27</v>
      </c>
      <c r="E297" t="s">
        <v>90</v>
      </c>
      <c r="F297" t="s">
        <v>29</v>
      </c>
      <c r="G297" t="s">
        <v>37</v>
      </c>
      <c r="H297">
        <v>6500</v>
      </c>
      <c r="I297">
        <v>14</v>
      </c>
      <c r="J297">
        <v>10</v>
      </c>
      <c r="K297">
        <v>10</v>
      </c>
      <c r="L297">
        <v>81900</v>
      </c>
      <c r="M297">
        <v>75492.53</v>
      </c>
      <c r="N297">
        <f t="shared" si="5"/>
        <v>6407.4700000000012</v>
      </c>
      <c r="O297" t="s">
        <v>23</v>
      </c>
      <c r="P297" t="s">
        <v>31</v>
      </c>
      <c r="Q297" t="s">
        <v>32</v>
      </c>
    </row>
    <row r="298" spans="1:17" x14ac:dyDescent="0.3">
      <c r="A298" t="s">
        <v>376</v>
      </c>
      <c r="B298" s="1">
        <v>45450</v>
      </c>
      <c r="C298" t="s">
        <v>18</v>
      </c>
      <c r="D298" t="s">
        <v>41</v>
      </c>
      <c r="E298" t="s">
        <v>104</v>
      </c>
      <c r="F298" t="s">
        <v>29</v>
      </c>
      <c r="G298" t="s">
        <v>30</v>
      </c>
      <c r="H298">
        <v>1200</v>
      </c>
      <c r="I298">
        <v>1</v>
      </c>
      <c r="J298">
        <v>10</v>
      </c>
      <c r="K298">
        <v>5</v>
      </c>
      <c r="L298">
        <v>1080</v>
      </c>
      <c r="M298">
        <v>959.17</v>
      </c>
      <c r="N298">
        <f t="shared" si="5"/>
        <v>120.83000000000004</v>
      </c>
      <c r="O298" t="s">
        <v>23</v>
      </c>
      <c r="P298" t="s">
        <v>31</v>
      </c>
      <c r="Q298" t="s">
        <v>32</v>
      </c>
    </row>
    <row r="299" spans="1:17" x14ac:dyDescent="0.3">
      <c r="A299" t="s">
        <v>377</v>
      </c>
      <c r="B299" s="1">
        <v>45304</v>
      </c>
      <c r="C299" t="s">
        <v>53</v>
      </c>
      <c r="D299" t="s">
        <v>70</v>
      </c>
      <c r="E299" t="s">
        <v>36</v>
      </c>
      <c r="F299" t="s">
        <v>29</v>
      </c>
      <c r="G299" t="s">
        <v>37</v>
      </c>
      <c r="H299">
        <v>1200</v>
      </c>
      <c r="I299">
        <v>10</v>
      </c>
      <c r="J299">
        <v>15</v>
      </c>
      <c r="K299">
        <v>20</v>
      </c>
      <c r="L299">
        <v>10200</v>
      </c>
      <c r="M299">
        <v>10032.85</v>
      </c>
      <c r="N299">
        <f t="shared" si="5"/>
        <v>167.14999999999964</v>
      </c>
      <c r="O299" t="s">
        <v>38</v>
      </c>
      <c r="P299" t="s">
        <v>31</v>
      </c>
      <c r="Q299" t="s">
        <v>39</v>
      </c>
    </row>
    <row r="300" spans="1:17" x14ac:dyDescent="0.3">
      <c r="A300" t="s">
        <v>378</v>
      </c>
      <c r="B300" s="1">
        <v>45460</v>
      </c>
      <c r="C300" t="s">
        <v>53</v>
      </c>
      <c r="D300" t="s">
        <v>41</v>
      </c>
      <c r="E300" t="s">
        <v>102</v>
      </c>
      <c r="F300" t="s">
        <v>29</v>
      </c>
      <c r="G300" t="s">
        <v>43</v>
      </c>
      <c r="H300">
        <v>1500</v>
      </c>
      <c r="I300">
        <v>6</v>
      </c>
      <c r="J300">
        <v>5</v>
      </c>
      <c r="K300">
        <v>10</v>
      </c>
      <c r="L300">
        <v>8550</v>
      </c>
      <c r="M300">
        <v>8977.31</v>
      </c>
      <c r="N300">
        <f t="shared" si="5"/>
        <v>-427.30999999999949</v>
      </c>
      <c r="O300" t="s">
        <v>38</v>
      </c>
      <c r="P300" t="s">
        <v>24</v>
      </c>
      <c r="Q300" t="s">
        <v>39</v>
      </c>
    </row>
    <row r="301" spans="1:17" x14ac:dyDescent="0.3">
      <c r="A301" t="s">
        <v>379</v>
      </c>
      <c r="B301" s="1">
        <v>45452</v>
      </c>
      <c r="C301" t="s">
        <v>34</v>
      </c>
      <c r="D301" t="s">
        <v>27</v>
      </c>
      <c r="E301" t="s">
        <v>42</v>
      </c>
      <c r="F301" t="s">
        <v>29</v>
      </c>
      <c r="G301" t="s">
        <v>43</v>
      </c>
      <c r="H301">
        <v>500</v>
      </c>
      <c r="I301">
        <v>13</v>
      </c>
      <c r="J301">
        <v>10</v>
      </c>
      <c r="K301">
        <v>5</v>
      </c>
      <c r="L301">
        <v>5850</v>
      </c>
      <c r="M301">
        <v>5085.3900000000003</v>
      </c>
      <c r="N301">
        <f t="shared" si="5"/>
        <v>764.60999999999967</v>
      </c>
      <c r="O301" t="s">
        <v>23</v>
      </c>
      <c r="P301" t="s">
        <v>31</v>
      </c>
      <c r="Q301" t="s">
        <v>32</v>
      </c>
    </row>
    <row r="302" spans="1:17" x14ac:dyDescent="0.3">
      <c r="A302" t="s">
        <v>380</v>
      </c>
      <c r="B302" s="1">
        <v>45438</v>
      </c>
      <c r="C302" t="s">
        <v>18</v>
      </c>
      <c r="D302" t="s">
        <v>92</v>
      </c>
      <c r="E302" t="s">
        <v>61</v>
      </c>
      <c r="F302" t="s">
        <v>29</v>
      </c>
      <c r="G302" t="s">
        <v>43</v>
      </c>
      <c r="H302">
        <v>2800</v>
      </c>
      <c r="I302">
        <v>5</v>
      </c>
      <c r="J302">
        <v>10</v>
      </c>
      <c r="K302">
        <v>15</v>
      </c>
      <c r="L302">
        <v>12600</v>
      </c>
      <c r="M302">
        <v>12052.4</v>
      </c>
      <c r="N302">
        <f t="shared" si="5"/>
        <v>547.60000000000036</v>
      </c>
      <c r="O302" t="s">
        <v>38</v>
      </c>
      <c r="P302" t="s">
        <v>31</v>
      </c>
      <c r="Q302" t="s">
        <v>39</v>
      </c>
    </row>
    <row r="303" spans="1:17" x14ac:dyDescent="0.3">
      <c r="A303" t="s">
        <v>381</v>
      </c>
      <c r="B303" s="1">
        <v>45460</v>
      </c>
      <c r="C303" t="s">
        <v>34</v>
      </c>
      <c r="D303" t="s">
        <v>70</v>
      </c>
      <c r="E303" t="s">
        <v>67</v>
      </c>
      <c r="F303" t="s">
        <v>29</v>
      </c>
      <c r="G303" t="s">
        <v>68</v>
      </c>
      <c r="H303">
        <v>1200</v>
      </c>
      <c r="I303">
        <v>12</v>
      </c>
      <c r="J303">
        <v>15</v>
      </c>
      <c r="K303">
        <v>15</v>
      </c>
      <c r="L303">
        <v>12240</v>
      </c>
      <c r="M303">
        <v>11344.7</v>
      </c>
      <c r="N303">
        <f t="shared" si="5"/>
        <v>895.29999999999927</v>
      </c>
      <c r="O303" t="s">
        <v>23</v>
      </c>
      <c r="P303" t="s">
        <v>31</v>
      </c>
      <c r="Q303" t="s">
        <v>32</v>
      </c>
    </row>
    <row r="304" spans="1:17" x14ac:dyDescent="0.3">
      <c r="A304" t="s">
        <v>382</v>
      </c>
      <c r="B304" s="1">
        <v>45352</v>
      </c>
      <c r="C304" t="s">
        <v>49</v>
      </c>
      <c r="D304" t="s">
        <v>27</v>
      </c>
      <c r="E304" t="s">
        <v>71</v>
      </c>
      <c r="F304" t="s">
        <v>21</v>
      </c>
      <c r="G304" t="s">
        <v>72</v>
      </c>
      <c r="H304">
        <v>60000</v>
      </c>
      <c r="I304">
        <v>2</v>
      </c>
      <c r="J304">
        <v>10</v>
      </c>
      <c r="K304">
        <v>15</v>
      </c>
      <c r="L304">
        <v>108000</v>
      </c>
      <c r="M304">
        <v>107495.55</v>
      </c>
      <c r="N304">
        <f t="shared" si="5"/>
        <v>504.44999999999709</v>
      </c>
      <c r="O304" t="s">
        <v>38</v>
      </c>
      <c r="P304" t="s">
        <v>31</v>
      </c>
      <c r="Q304" t="s">
        <v>39</v>
      </c>
    </row>
    <row r="305" spans="1:17" x14ac:dyDescent="0.3">
      <c r="A305" t="s">
        <v>383</v>
      </c>
      <c r="B305" s="1">
        <v>45348</v>
      </c>
      <c r="C305" t="s">
        <v>49</v>
      </c>
      <c r="D305" t="s">
        <v>92</v>
      </c>
      <c r="E305" t="s">
        <v>71</v>
      </c>
      <c r="F305" t="s">
        <v>21</v>
      </c>
      <c r="G305" t="s">
        <v>72</v>
      </c>
      <c r="H305">
        <v>60000</v>
      </c>
      <c r="I305">
        <v>6</v>
      </c>
      <c r="J305">
        <v>10</v>
      </c>
      <c r="K305">
        <v>0</v>
      </c>
      <c r="L305">
        <v>324000</v>
      </c>
      <c r="M305">
        <v>282192.17</v>
      </c>
      <c r="N305">
        <f t="shared" si="5"/>
        <v>41807.830000000016</v>
      </c>
      <c r="O305" t="s">
        <v>23</v>
      </c>
      <c r="P305" t="s">
        <v>31</v>
      </c>
      <c r="Q305" t="s">
        <v>32</v>
      </c>
    </row>
    <row r="306" spans="1:17" x14ac:dyDescent="0.3">
      <c r="A306" t="s">
        <v>384</v>
      </c>
      <c r="B306" s="1">
        <v>45398</v>
      </c>
      <c r="C306" t="s">
        <v>18</v>
      </c>
      <c r="D306" t="s">
        <v>19</v>
      </c>
      <c r="E306" t="s">
        <v>155</v>
      </c>
      <c r="F306" t="s">
        <v>21</v>
      </c>
      <c r="G306" t="s">
        <v>72</v>
      </c>
      <c r="H306">
        <v>35000</v>
      </c>
      <c r="I306">
        <v>7</v>
      </c>
      <c r="J306">
        <v>15</v>
      </c>
      <c r="K306">
        <v>25</v>
      </c>
      <c r="L306">
        <v>208250</v>
      </c>
      <c r="M306">
        <v>187087.62</v>
      </c>
      <c r="N306">
        <f t="shared" si="5"/>
        <v>21162.380000000005</v>
      </c>
      <c r="O306" t="s">
        <v>38</v>
      </c>
      <c r="P306" t="s">
        <v>31</v>
      </c>
      <c r="Q306" t="s">
        <v>39</v>
      </c>
    </row>
    <row r="307" spans="1:17" x14ac:dyDescent="0.3">
      <c r="A307" t="s">
        <v>385</v>
      </c>
      <c r="B307" s="1">
        <v>45432</v>
      </c>
      <c r="C307" t="s">
        <v>34</v>
      </c>
      <c r="D307" t="s">
        <v>70</v>
      </c>
      <c r="E307" t="s">
        <v>36</v>
      </c>
      <c r="F307" t="s">
        <v>29</v>
      </c>
      <c r="G307" t="s">
        <v>37</v>
      </c>
      <c r="H307">
        <v>1200</v>
      </c>
      <c r="I307">
        <v>11</v>
      </c>
      <c r="J307">
        <v>5</v>
      </c>
      <c r="K307">
        <v>25</v>
      </c>
      <c r="L307">
        <v>12540</v>
      </c>
      <c r="M307">
        <v>12418.19</v>
      </c>
      <c r="N307">
        <f t="shared" si="5"/>
        <v>121.80999999999949</v>
      </c>
      <c r="O307" t="s">
        <v>38</v>
      </c>
      <c r="P307" t="s">
        <v>31</v>
      </c>
      <c r="Q307" t="s">
        <v>39</v>
      </c>
    </row>
    <row r="308" spans="1:17" x14ac:dyDescent="0.3">
      <c r="A308" t="s">
        <v>386</v>
      </c>
      <c r="B308" s="1">
        <v>45458</v>
      </c>
      <c r="C308" t="s">
        <v>53</v>
      </c>
      <c r="D308" t="s">
        <v>70</v>
      </c>
      <c r="E308" t="s">
        <v>50</v>
      </c>
      <c r="F308" t="s">
        <v>21</v>
      </c>
      <c r="G308" t="s">
        <v>51</v>
      </c>
      <c r="H308">
        <v>4500</v>
      </c>
      <c r="I308">
        <v>2</v>
      </c>
      <c r="J308">
        <v>15</v>
      </c>
      <c r="K308">
        <v>10</v>
      </c>
      <c r="L308">
        <v>7650</v>
      </c>
      <c r="M308">
        <v>6910.09</v>
      </c>
      <c r="N308">
        <f t="shared" si="5"/>
        <v>739.90999999999985</v>
      </c>
      <c r="O308" t="s">
        <v>23</v>
      </c>
      <c r="P308" t="s">
        <v>31</v>
      </c>
      <c r="Q308" t="s">
        <v>32</v>
      </c>
    </row>
    <row r="309" spans="1:17" x14ac:dyDescent="0.3">
      <c r="A309" t="s">
        <v>387</v>
      </c>
      <c r="B309" s="1">
        <v>45384</v>
      </c>
      <c r="C309" t="s">
        <v>49</v>
      </c>
      <c r="D309" t="s">
        <v>41</v>
      </c>
      <c r="E309" t="s">
        <v>104</v>
      </c>
      <c r="F309" t="s">
        <v>29</v>
      </c>
      <c r="G309" t="s">
        <v>30</v>
      </c>
      <c r="H309">
        <v>1200</v>
      </c>
      <c r="I309">
        <v>4</v>
      </c>
      <c r="J309">
        <v>15</v>
      </c>
      <c r="K309">
        <v>25</v>
      </c>
      <c r="L309">
        <v>4080</v>
      </c>
      <c r="M309">
        <v>3884.85</v>
      </c>
      <c r="N309">
        <f t="shared" si="5"/>
        <v>195.15000000000009</v>
      </c>
      <c r="O309" t="s">
        <v>38</v>
      </c>
      <c r="P309" t="s">
        <v>31</v>
      </c>
      <c r="Q309" t="s">
        <v>39</v>
      </c>
    </row>
    <row r="310" spans="1:17" x14ac:dyDescent="0.3">
      <c r="A310" t="s">
        <v>388</v>
      </c>
      <c r="B310" s="1">
        <v>45327</v>
      </c>
      <c r="C310" t="s">
        <v>34</v>
      </c>
      <c r="D310" t="s">
        <v>92</v>
      </c>
      <c r="E310" t="s">
        <v>54</v>
      </c>
      <c r="F310" t="s">
        <v>46</v>
      </c>
      <c r="G310" t="s">
        <v>55</v>
      </c>
      <c r="H310">
        <v>4500</v>
      </c>
      <c r="I310">
        <v>8</v>
      </c>
      <c r="J310">
        <v>5</v>
      </c>
      <c r="K310">
        <v>10</v>
      </c>
      <c r="L310">
        <v>34200</v>
      </c>
      <c r="M310">
        <v>31794.25</v>
      </c>
      <c r="N310">
        <f t="shared" si="5"/>
        <v>2405.75</v>
      </c>
      <c r="O310" t="s">
        <v>38</v>
      </c>
      <c r="P310" t="s">
        <v>31</v>
      </c>
      <c r="Q310" t="s">
        <v>39</v>
      </c>
    </row>
    <row r="311" spans="1:17" x14ac:dyDescent="0.3">
      <c r="A311" t="s">
        <v>389</v>
      </c>
      <c r="B311" s="1">
        <v>45299</v>
      </c>
      <c r="C311" t="s">
        <v>34</v>
      </c>
      <c r="D311" t="s">
        <v>27</v>
      </c>
      <c r="E311" t="s">
        <v>107</v>
      </c>
      <c r="F311" t="s">
        <v>108</v>
      </c>
      <c r="G311" t="s">
        <v>109</v>
      </c>
      <c r="H311">
        <v>18000</v>
      </c>
      <c r="I311">
        <v>4</v>
      </c>
      <c r="J311">
        <v>5</v>
      </c>
      <c r="K311">
        <v>5</v>
      </c>
      <c r="L311">
        <v>68400</v>
      </c>
      <c r="M311">
        <v>69702.81</v>
      </c>
      <c r="N311">
        <f t="shared" si="5"/>
        <v>-1302.8099999999977</v>
      </c>
      <c r="O311" t="s">
        <v>23</v>
      </c>
      <c r="P311" t="s">
        <v>24</v>
      </c>
      <c r="Q311" t="s">
        <v>25</v>
      </c>
    </row>
    <row r="312" spans="1:17" x14ac:dyDescent="0.3">
      <c r="A312" t="s">
        <v>390</v>
      </c>
      <c r="B312" s="1">
        <v>45341</v>
      </c>
      <c r="C312" t="s">
        <v>49</v>
      </c>
      <c r="D312" t="s">
        <v>27</v>
      </c>
      <c r="E312" t="s">
        <v>20</v>
      </c>
      <c r="F312" t="s">
        <v>21</v>
      </c>
      <c r="G312" t="s">
        <v>22</v>
      </c>
      <c r="H312">
        <v>6000</v>
      </c>
      <c r="I312">
        <v>8</v>
      </c>
      <c r="J312">
        <v>5</v>
      </c>
      <c r="K312">
        <v>0</v>
      </c>
      <c r="L312">
        <v>45600</v>
      </c>
      <c r="M312">
        <v>44351.25</v>
      </c>
      <c r="N312">
        <f t="shared" si="5"/>
        <v>1248.75</v>
      </c>
      <c r="O312" t="s">
        <v>23</v>
      </c>
      <c r="P312" t="s">
        <v>31</v>
      </c>
      <c r="Q312" t="s">
        <v>32</v>
      </c>
    </row>
    <row r="313" spans="1:17" x14ac:dyDescent="0.3">
      <c r="A313" t="s">
        <v>391</v>
      </c>
      <c r="B313" s="1">
        <v>45312</v>
      </c>
      <c r="C313" t="s">
        <v>49</v>
      </c>
      <c r="D313" t="s">
        <v>19</v>
      </c>
      <c r="E313" t="s">
        <v>61</v>
      </c>
      <c r="F313" t="s">
        <v>29</v>
      </c>
      <c r="G313" t="s">
        <v>43</v>
      </c>
      <c r="H313">
        <v>2800</v>
      </c>
      <c r="I313">
        <v>5</v>
      </c>
      <c r="J313">
        <v>10</v>
      </c>
      <c r="K313">
        <v>15</v>
      </c>
      <c r="L313">
        <v>12600</v>
      </c>
      <c r="M313">
        <v>11491.95</v>
      </c>
      <c r="N313">
        <f t="shared" si="5"/>
        <v>1108.0499999999993</v>
      </c>
      <c r="O313" t="s">
        <v>38</v>
      </c>
      <c r="P313" t="s">
        <v>31</v>
      </c>
      <c r="Q313" t="s">
        <v>39</v>
      </c>
    </row>
    <row r="314" spans="1:17" x14ac:dyDescent="0.3">
      <c r="A314" t="s">
        <v>392</v>
      </c>
      <c r="B314" s="1">
        <v>45345</v>
      </c>
      <c r="C314" t="s">
        <v>53</v>
      </c>
      <c r="D314" t="s">
        <v>92</v>
      </c>
      <c r="E314" t="s">
        <v>71</v>
      </c>
      <c r="F314" t="s">
        <v>21</v>
      </c>
      <c r="G314" t="s">
        <v>72</v>
      </c>
      <c r="H314">
        <v>60000</v>
      </c>
      <c r="I314">
        <v>4</v>
      </c>
      <c r="J314">
        <v>5</v>
      </c>
      <c r="K314">
        <v>15</v>
      </c>
      <c r="L314">
        <v>228000</v>
      </c>
      <c r="M314">
        <v>233458.01</v>
      </c>
      <c r="N314">
        <f t="shared" si="5"/>
        <v>-5458.0100000000093</v>
      </c>
      <c r="O314" t="s">
        <v>38</v>
      </c>
      <c r="P314" t="s">
        <v>24</v>
      </c>
      <c r="Q314" t="s">
        <v>39</v>
      </c>
    </row>
    <row r="315" spans="1:17" x14ac:dyDescent="0.3">
      <c r="A315" t="s">
        <v>393</v>
      </c>
      <c r="B315" s="1">
        <v>45371</v>
      </c>
      <c r="C315" t="s">
        <v>34</v>
      </c>
      <c r="D315" t="s">
        <v>41</v>
      </c>
      <c r="E315" t="s">
        <v>45</v>
      </c>
      <c r="F315" t="s">
        <v>46</v>
      </c>
      <c r="G315" t="s">
        <v>47</v>
      </c>
      <c r="H315">
        <v>15000</v>
      </c>
      <c r="I315">
        <v>5</v>
      </c>
      <c r="J315">
        <v>15</v>
      </c>
      <c r="K315">
        <v>25</v>
      </c>
      <c r="L315">
        <v>63750</v>
      </c>
      <c r="M315">
        <v>66347.63</v>
      </c>
      <c r="N315">
        <f t="shared" si="5"/>
        <v>-2597.6300000000047</v>
      </c>
      <c r="O315" t="s">
        <v>38</v>
      </c>
      <c r="P315" t="s">
        <v>24</v>
      </c>
      <c r="Q315" t="s">
        <v>39</v>
      </c>
    </row>
    <row r="316" spans="1:17" x14ac:dyDescent="0.3">
      <c r="A316" t="s">
        <v>394</v>
      </c>
      <c r="B316" s="1">
        <v>45366</v>
      </c>
      <c r="C316" t="s">
        <v>53</v>
      </c>
      <c r="D316" t="s">
        <v>27</v>
      </c>
      <c r="E316" t="s">
        <v>71</v>
      </c>
      <c r="F316" t="s">
        <v>21</v>
      </c>
      <c r="G316" t="s">
        <v>72</v>
      </c>
      <c r="H316">
        <v>60000</v>
      </c>
      <c r="I316">
        <v>13</v>
      </c>
      <c r="J316">
        <v>15</v>
      </c>
      <c r="K316">
        <v>20</v>
      </c>
      <c r="L316">
        <v>663000</v>
      </c>
      <c r="M316">
        <v>692496.92</v>
      </c>
      <c r="N316">
        <f t="shared" si="5"/>
        <v>-29496.920000000042</v>
      </c>
      <c r="O316" t="s">
        <v>38</v>
      </c>
      <c r="P316" t="s">
        <v>24</v>
      </c>
      <c r="Q316" t="s">
        <v>39</v>
      </c>
    </row>
    <row r="317" spans="1:17" x14ac:dyDescent="0.3">
      <c r="A317" t="s">
        <v>395</v>
      </c>
      <c r="B317" s="1">
        <v>45345</v>
      </c>
      <c r="C317" t="s">
        <v>49</v>
      </c>
      <c r="D317" t="s">
        <v>19</v>
      </c>
      <c r="E317" t="s">
        <v>104</v>
      </c>
      <c r="F317" t="s">
        <v>29</v>
      </c>
      <c r="G317" t="s">
        <v>30</v>
      </c>
      <c r="H317">
        <v>1200</v>
      </c>
      <c r="I317">
        <v>7</v>
      </c>
      <c r="J317">
        <v>15</v>
      </c>
      <c r="K317">
        <v>5</v>
      </c>
      <c r="L317">
        <v>7140</v>
      </c>
      <c r="M317">
        <v>6613.6</v>
      </c>
      <c r="N317">
        <f t="shared" si="5"/>
        <v>526.39999999999964</v>
      </c>
      <c r="O317" t="s">
        <v>23</v>
      </c>
      <c r="P317" t="s">
        <v>31</v>
      </c>
      <c r="Q317" t="s">
        <v>32</v>
      </c>
    </row>
    <row r="318" spans="1:17" x14ac:dyDescent="0.3">
      <c r="A318" t="s">
        <v>396</v>
      </c>
      <c r="B318" s="1">
        <v>45433</v>
      </c>
      <c r="C318" t="s">
        <v>18</v>
      </c>
      <c r="D318" t="s">
        <v>92</v>
      </c>
      <c r="E318" t="s">
        <v>61</v>
      </c>
      <c r="F318" t="s">
        <v>29</v>
      </c>
      <c r="G318" t="s">
        <v>43</v>
      </c>
      <c r="H318">
        <v>2800</v>
      </c>
      <c r="I318">
        <v>3</v>
      </c>
      <c r="J318">
        <v>10</v>
      </c>
      <c r="K318">
        <v>25</v>
      </c>
      <c r="L318">
        <v>7560</v>
      </c>
      <c r="M318">
        <v>7937.81</v>
      </c>
      <c r="N318">
        <f t="shared" si="5"/>
        <v>-377.8100000000004</v>
      </c>
      <c r="O318" t="s">
        <v>38</v>
      </c>
      <c r="P318" t="s">
        <v>24</v>
      </c>
      <c r="Q318" t="s">
        <v>39</v>
      </c>
    </row>
    <row r="319" spans="1:17" x14ac:dyDescent="0.3">
      <c r="A319" t="s">
        <v>397</v>
      </c>
      <c r="B319" s="1">
        <v>45399</v>
      </c>
      <c r="C319" t="s">
        <v>18</v>
      </c>
      <c r="D319" t="s">
        <v>70</v>
      </c>
      <c r="E319" t="s">
        <v>28</v>
      </c>
      <c r="F319" t="s">
        <v>29</v>
      </c>
      <c r="G319" t="s">
        <v>30</v>
      </c>
      <c r="H319">
        <v>1800</v>
      </c>
      <c r="I319">
        <v>12</v>
      </c>
      <c r="J319">
        <v>5</v>
      </c>
      <c r="K319">
        <v>10</v>
      </c>
      <c r="L319">
        <v>20520</v>
      </c>
      <c r="M319">
        <v>19707.439999999999</v>
      </c>
      <c r="N319">
        <f t="shared" si="5"/>
        <v>812.56000000000131</v>
      </c>
      <c r="O319" t="s">
        <v>38</v>
      </c>
      <c r="P319" t="s">
        <v>31</v>
      </c>
      <c r="Q319" t="s">
        <v>39</v>
      </c>
    </row>
    <row r="320" spans="1:17" x14ac:dyDescent="0.3">
      <c r="A320" t="s">
        <v>398</v>
      </c>
      <c r="B320" s="1">
        <v>45415</v>
      </c>
      <c r="C320" t="s">
        <v>49</v>
      </c>
      <c r="D320" t="s">
        <v>70</v>
      </c>
      <c r="E320" t="s">
        <v>100</v>
      </c>
      <c r="F320" t="s">
        <v>46</v>
      </c>
      <c r="G320" t="s">
        <v>55</v>
      </c>
      <c r="H320">
        <v>2500</v>
      </c>
      <c r="I320">
        <v>11</v>
      </c>
      <c r="J320">
        <v>10</v>
      </c>
      <c r="K320">
        <v>20</v>
      </c>
      <c r="L320">
        <v>24750</v>
      </c>
      <c r="M320">
        <v>24197.69</v>
      </c>
      <c r="N320">
        <f t="shared" si="5"/>
        <v>552.31000000000131</v>
      </c>
      <c r="O320" t="s">
        <v>38</v>
      </c>
      <c r="P320" t="s">
        <v>31</v>
      </c>
      <c r="Q320" t="s">
        <v>39</v>
      </c>
    </row>
    <row r="321" spans="1:17" x14ac:dyDescent="0.3">
      <c r="A321" t="s">
        <v>399</v>
      </c>
      <c r="B321" s="1">
        <v>45314</v>
      </c>
      <c r="C321" t="s">
        <v>49</v>
      </c>
      <c r="D321" t="s">
        <v>35</v>
      </c>
      <c r="E321" t="s">
        <v>57</v>
      </c>
      <c r="F321" t="s">
        <v>46</v>
      </c>
      <c r="G321" t="s">
        <v>58</v>
      </c>
      <c r="H321">
        <v>18000</v>
      </c>
      <c r="I321">
        <v>11</v>
      </c>
      <c r="J321">
        <v>5</v>
      </c>
      <c r="K321">
        <v>10</v>
      </c>
      <c r="L321">
        <v>188100</v>
      </c>
      <c r="M321">
        <v>162310.32999999999</v>
      </c>
      <c r="N321">
        <f t="shared" si="5"/>
        <v>25789.670000000013</v>
      </c>
      <c r="O321" t="s">
        <v>38</v>
      </c>
      <c r="P321" t="s">
        <v>31</v>
      </c>
      <c r="Q321" t="s">
        <v>39</v>
      </c>
    </row>
    <row r="322" spans="1:17" x14ac:dyDescent="0.3">
      <c r="A322" t="s">
        <v>400</v>
      </c>
      <c r="B322" s="1">
        <v>45308</v>
      </c>
      <c r="C322" t="s">
        <v>18</v>
      </c>
      <c r="D322" t="s">
        <v>41</v>
      </c>
      <c r="E322" t="s">
        <v>81</v>
      </c>
      <c r="F322" t="s">
        <v>21</v>
      </c>
      <c r="G322" t="s">
        <v>82</v>
      </c>
      <c r="H322">
        <v>8000</v>
      </c>
      <c r="I322">
        <v>9</v>
      </c>
      <c r="J322">
        <v>5</v>
      </c>
      <c r="K322">
        <v>15</v>
      </c>
      <c r="L322">
        <v>68400</v>
      </c>
      <c r="M322">
        <v>65477.45</v>
      </c>
      <c r="N322">
        <f t="shared" si="5"/>
        <v>2922.5500000000029</v>
      </c>
      <c r="O322" t="s">
        <v>38</v>
      </c>
      <c r="P322" t="s">
        <v>31</v>
      </c>
      <c r="Q322" t="s">
        <v>39</v>
      </c>
    </row>
    <row r="323" spans="1:17" x14ac:dyDescent="0.3">
      <c r="A323" t="s">
        <v>401</v>
      </c>
      <c r="B323" s="1">
        <v>45418</v>
      </c>
      <c r="C323" t="s">
        <v>34</v>
      </c>
      <c r="D323" t="s">
        <v>70</v>
      </c>
      <c r="E323" t="s">
        <v>107</v>
      </c>
      <c r="F323" t="s">
        <v>108</v>
      </c>
      <c r="G323" t="s">
        <v>109</v>
      </c>
      <c r="H323">
        <v>18000</v>
      </c>
      <c r="I323">
        <v>5</v>
      </c>
      <c r="J323">
        <v>15</v>
      </c>
      <c r="K323">
        <v>0</v>
      </c>
      <c r="L323">
        <v>76500</v>
      </c>
      <c r="M323">
        <v>76365.22</v>
      </c>
      <c r="N323">
        <f t="shared" ref="N323:N386" si="6">L323-M323</f>
        <v>134.77999999999884</v>
      </c>
      <c r="O323" t="s">
        <v>23</v>
      </c>
      <c r="P323" t="s">
        <v>31</v>
      </c>
      <c r="Q323" t="s">
        <v>32</v>
      </c>
    </row>
    <row r="324" spans="1:17" x14ac:dyDescent="0.3">
      <c r="A324" t="s">
        <v>402</v>
      </c>
      <c r="B324" s="1">
        <v>45338</v>
      </c>
      <c r="C324" t="s">
        <v>53</v>
      </c>
      <c r="D324" t="s">
        <v>92</v>
      </c>
      <c r="E324" t="s">
        <v>36</v>
      </c>
      <c r="F324" t="s">
        <v>29</v>
      </c>
      <c r="G324" t="s">
        <v>37</v>
      </c>
      <c r="H324">
        <v>1200</v>
      </c>
      <c r="I324">
        <v>15</v>
      </c>
      <c r="J324">
        <v>10</v>
      </c>
      <c r="K324">
        <v>20</v>
      </c>
      <c r="L324">
        <v>16200</v>
      </c>
      <c r="M324">
        <v>14343.82</v>
      </c>
      <c r="N324">
        <f t="shared" si="6"/>
        <v>1856.1800000000003</v>
      </c>
      <c r="O324" t="s">
        <v>38</v>
      </c>
      <c r="P324" t="s">
        <v>31</v>
      </c>
      <c r="Q324" t="s">
        <v>39</v>
      </c>
    </row>
    <row r="325" spans="1:17" x14ac:dyDescent="0.3">
      <c r="A325" t="s">
        <v>403</v>
      </c>
      <c r="B325" s="1">
        <v>45382</v>
      </c>
      <c r="C325" t="s">
        <v>18</v>
      </c>
      <c r="D325" t="s">
        <v>70</v>
      </c>
      <c r="E325" t="s">
        <v>81</v>
      </c>
      <c r="F325" t="s">
        <v>21</v>
      </c>
      <c r="G325" t="s">
        <v>82</v>
      </c>
      <c r="H325">
        <v>8000</v>
      </c>
      <c r="I325">
        <v>11</v>
      </c>
      <c r="J325">
        <v>10</v>
      </c>
      <c r="K325">
        <v>10</v>
      </c>
      <c r="L325">
        <v>79200</v>
      </c>
      <c r="M325">
        <v>75841.53</v>
      </c>
      <c r="N325">
        <f t="shared" si="6"/>
        <v>3358.4700000000012</v>
      </c>
      <c r="O325" t="s">
        <v>23</v>
      </c>
      <c r="P325" t="s">
        <v>31</v>
      </c>
      <c r="Q325" t="s">
        <v>32</v>
      </c>
    </row>
    <row r="326" spans="1:17" x14ac:dyDescent="0.3">
      <c r="A326" t="s">
        <v>404</v>
      </c>
      <c r="B326" s="1">
        <v>45377</v>
      </c>
      <c r="C326" t="s">
        <v>49</v>
      </c>
      <c r="D326" t="s">
        <v>35</v>
      </c>
      <c r="E326" t="s">
        <v>100</v>
      </c>
      <c r="F326" t="s">
        <v>46</v>
      </c>
      <c r="G326" t="s">
        <v>55</v>
      </c>
      <c r="H326">
        <v>2500</v>
      </c>
      <c r="I326">
        <v>2</v>
      </c>
      <c r="J326">
        <v>5</v>
      </c>
      <c r="K326">
        <v>5</v>
      </c>
      <c r="L326">
        <v>4750</v>
      </c>
      <c r="M326">
        <v>4406.5</v>
      </c>
      <c r="N326">
        <f t="shared" si="6"/>
        <v>343.5</v>
      </c>
      <c r="O326" t="s">
        <v>23</v>
      </c>
      <c r="P326" t="s">
        <v>31</v>
      </c>
      <c r="Q326" t="s">
        <v>32</v>
      </c>
    </row>
    <row r="327" spans="1:17" x14ac:dyDescent="0.3">
      <c r="A327" t="s">
        <v>405</v>
      </c>
      <c r="B327" s="1">
        <v>45463</v>
      </c>
      <c r="C327" t="s">
        <v>18</v>
      </c>
      <c r="D327" t="s">
        <v>70</v>
      </c>
      <c r="E327" t="s">
        <v>67</v>
      </c>
      <c r="F327" t="s">
        <v>29</v>
      </c>
      <c r="G327" t="s">
        <v>68</v>
      </c>
      <c r="H327">
        <v>1200</v>
      </c>
      <c r="I327">
        <v>13</v>
      </c>
      <c r="J327">
        <v>10</v>
      </c>
      <c r="K327">
        <v>15</v>
      </c>
      <c r="L327">
        <v>14040</v>
      </c>
      <c r="M327">
        <v>12695.21</v>
      </c>
      <c r="N327">
        <f t="shared" si="6"/>
        <v>1344.7900000000009</v>
      </c>
      <c r="O327" t="s">
        <v>38</v>
      </c>
      <c r="P327" t="s">
        <v>31</v>
      </c>
      <c r="Q327" t="s">
        <v>39</v>
      </c>
    </row>
    <row r="328" spans="1:17" x14ac:dyDescent="0.3">
      <c r="A328" t="s">
        <v>406</v>
      </c>
      <c r="B328" s="1">
        <v>45463</v>
      </c>
      <c r="C328" t="s">
        <v>53</v>
      </c>
      <c r="D328" t="s">
        <v>35</v>
      </c>
      <c r="E328" t="s">
        <v>36</v>
      </c>
      <c r="F328" t="s">
        <v>29</v>
      </c>
      <c r="G328" t="s">
        <v>37</v>
      </c>
      <c r="H328">
        <v>1200</v>
      </c>
      <c r="I328">
        <v>10</v>
      </c>
      <c r="J328">
        <v>10</v>
      </c>
      <c r="K328">
        <v>25</v>
      </c>
      <c r="L328">
        <v>10800</v>
      </c>
      <c r="M328">
        <v>9596.33</v>
      </c>
      <c r="N328">
        <f t="shared" si="6"/>
        <v>1203.67</v>
      </c>
      <c r="O328" t="s">
        <v>38</v>
      </c>
      <c r="P328" t="s">
        <v>31</v>
      </c>
      <c r="Q328" t="s">
        <v>39</v>
      </c>
    </row>
    <row r="329" spans="1:17" x14ac:dyDescent="0.3">
      <c r="A329" t="s">
        <v>407</v>
      </c>
      <c r="B329" s="1">
        <v>45312</v>
      </c>
      <c r="C329" t="s">
        <v>34</v>
      </c>
      <c r="D329" t="s">
        <v>27</v>
      </c>
      <c r="E329" t="s">
        <v>75</v>
      </c>
      <c r="F329" t="s">
        <v>76</v>
      </c>
      <c r="G329" t="s">
        <v>77</v>
      </c>
      <c r="H329">
        <v>8000</v>
      </c>
      <c r="I329">
        <v>13</v>
      </c>
      <c r="J329">
        <v>5</v>
      </c>
      <c r="K329">
        <v>10</v>
      </c>
      <c r="L329">
        <v>98800</v>
      </c>
      <c r="M329">
        <v>103078.86</v>
      </c>
      <c r="N329">
        <f t="shared" si="6"/>
        <v>-4278.8600000000006</v>
      </c>
      <c r="O329" t="s">
        <v>38</v>
      </c>
      <c r="P329" t="s">
        <v>24</v>
      </c>
      <c r="Q329" t="s">
        <v>39</v>
      </c>
    </row>
    <row r="330" spans="1:17" x14ac:dyDescent="0.3">
      <c r="A330" t="s">
        <v>408</v>
      </c>
      <c r="B330" s="1">
        <v>45332</v>
      </c>
      <c r="C330" t="s">
        <v>53</v>
      </c>
      <c r="D330" t="s">
        <v>41</v>
      </c>
      <c r="E330" t="s">
        <v>107</v>
      </c>
      <c r="F330" t="s">
        <v>108</v>
      </c>
      <c r="G330" t="s">
        <v>109</v>
      </c>
      <c r="H330">
        <v>18000</v>
      </c>
      <c r="I330">
        <v>6</v>
      </c>
      <c r="J330">
        <v>15</v>
      </c>
      <c r="K330">
        <v>15</v>
      </c>
      <c r="L330">
        <v>91800</v>
      </c>
      <c r="M330">
        <v>95534.26</v>
      </c>
      <c r="N330">
        <f t="shared" si="6"/>
        <v>-3734.2599999999948</v>
      </c>
      <c r="O330" t="s">
        <v>23</v>
      </c>
      <c r="P330" t="s">
        <v>24</v>
      </c>
      <c r="Q330" t="s">
        <v>25</v>
      </c>
    </row>
    <row r="331" spans="1:17" x14ac:dyDescent="0.3">
      <c r="A331" t="s">
        <v>409</v>
      </c>
      <c r="B331" s="1">
        <v>45381</v>
      </c>
      <c r="C331" t="s">
        <v>53</v>
      </c>
      <c r="D331" t="s">
        <v>27</v>
      </c>
      <c r="E331" t="s">
        <v>61</v>
      </c>
      <c r="F331" t="s">
        <v>29</v>
      </c>
      <c r="G331" t="s">
        <v>43</v>
      </c>
      <c r="H331">
        <v>2800</v>
      </c>
      <c r="I331">
        <v>10</v>
      </c>
      <c r="J331">
        <v>15</v>
      </c>
      <c r="K331">
        <v>0</v>
      </c>
      <c r="L331">
        <v>23800</v>
      </c>
      <c r="M331">
        <v>21233.03</v>
      </c>
      <c r="N331">
        <f t="shared" si="6"/>
        <v>2566.9700000000012</v>
      </c>
      <c r="O331" t="s">
        <v>23</v>
      </c>
      <c r="P331" t="s">
        <v>31</v>
      </c>
      <c r="Q331" t="s">
        <v>32</v>
      </c>
    </row>
    <row r="332" spans="1:17" x14ac:dyDescent="0.3">
      <c r="A332" t="s">
        <v>410</v>
      </c>
      <c r="B332" s="1">
        <v>45346</v>
      </c>
      <c r="C332" t="s">
        <v>53</v>
      </c>
      <c r="D332" t="s">
        <v>70</v>
      </c>
      <c r="E332" t="s">
        <v>42</v>
      </c>
      <c r="F332" t="s">
        <v>29</v>
      </c>
      <c r="G332" t="s">
        <v>43</v>
      </c>
      <c r="H332">
        <v>500</v>
      </c>
      <c r="I332">
        <v>13</v>
      </c>
      <c r="J332">
        <v>5</v>
      </c>
      <c r="K332">
        <v>0</v>
      </c>
      <c r="L332">
        <v>6175</v>
      </c>
      <c r="M332">
        <v>5967.34</v>
      </c>
      <c r="N332">
        <f t="shared" si="6"/>
        <v>207.65999999999985</v>
      </c>
      <c r="O332" t="s">
        <v>23</v>
      </c>
      <c r="P332" t="s">
        <v>31</v>
      </c>
      <c r="Q332" t="s">
        <v>32</v>
      </c>
    </row>
    <row r="333" spans="1:17" x14ac:dyDescent="0.3">
      <c r="A333" t="s">
        <v>411</v>
      </c>
      <c r="B333" s="1">
        <v>45464</v>
      </c>
      <c r="C333" t="s">
        <v>34</v>
      </c>
      <c r="D333" t="s">
        <v>41</v>
      </c>
      <c r="E333" t="s">
        <v>129</v>
      </c>
      <c r="F333" t="s">
        <v>21</v>
      </c>
      <c r="G333" t="s">
        <v>82</v>
      </c>
      <c r="H333">
        <v>3500</v>
      </c>
      <c r="I333">
        <v>3</v>
      </c>
      <c r="J333">
        <v>10</v>
      </c>
      <c r="K333">
        <v>20</v>
      </c>
      <c r="L333">
        <v>9450</v>
      </c>
      <c r="M333">
        <v>9091.5</v>
      </c>
      <c r="N333">
        <f t="shared" si="6"/>
        <v>358.5</v>
      </c>
      <c r="O333" t="s">
        <v>38</v>
      </c>
      <c r="P333" t="s">
        <v>31</v>
      </c>
      <c r="Q333" t="s">
        <v>39</v>
      </c>
    </row>
    <row r="334" spans="1:17" x14ac:dyDescent="0.3">
      <c r="A334" t="s">
        <v>412</v>
      </c>
      <c r="B334" s="1">
        <v>45441</v>
      </c>
      <c r="C334" t="s">
        <v>34</v>
      </c>
      <c r="D334" t="s">
        <v>27</v>
      </c>
      <c r="E334" t="s">
        <v>104</v>
      </c>
      <c r="F334" t="s">
        <v>29</v>
      </c>
      <c r="G334" t="s">
        <v>30</v>
      </c>
      <c r="H334">
        <v>1200</v>
      </c>
      <c r="I334">
        <v>1</v>
      </c>
      <c r="J334">
        <v>15</v>
      </c>
      <c r="K334">
        <v>5</v>
      </c>
      <c r="L334">
        <v>1020</v>
      </c>
      <c r="M334">
        <v>908.05</v>
      </c>
      <c r="N334">
        <f t="shared" si="6"/>
        <v>111.95000000000005</v>
      </c>
      <c r="O334" t="s">
        <v>23</v>
      </c>
      <c r="P334" t="s">
        <v>31</v>
      </c>
      <c r="Q334" t="s">
        <v>32</v>
      </c>
    </row>
    <row r="335" spans="1:17" x14ac:dyDescent="0.3">
      <c r="A335" t="s">
        <v>413</v>
      </c>
      <c r="B335" s="1">
        <v>45426</v>
      </c>
      <c r="C335" t="s">
        <v>34</v>
      </c>
      <c r="D335" t="s">
        <v>92</v>
      </c>
      <c r="E335" t="s">
        <v>42</v>
      </c>
      <c r="F335" t="s">
        <v>29</v>
      </c>
      <c r="G335" t="s">
        <v>43</v>
      </c>
      <c r="H335">
        <v>500</v>
      </c>
      <c r="I335">
        <v>11</v>
      </c>
      <c r="J335">
        <v>5</v>
      </c>
      <c r="K335">
        <v>10</v>
      </c>
      <c r="L335">
        <v>5225</v>
      </c>
      <c r="M335">
        <v>5346.32</v>
      </c>
      <c r="N335">
        <f t="shared" si="6"/>
        <v>-121.31999999999971</v>
      </c>
      <c r="O335" t="s">
        <v>38</v>
      </c>
      <c r="P335" t="s">
        <v>24</v>
      </c>
      <c r="Q335" t="s">
        <v>39</v>
      </c>
    </row>
    <row r="336" spans="1:17" x14ac:dyDescent="0.3">
      <c r="A336" t="s">
        <v>414</v>
      </c>
      <c r="B336" s="1">
        <v>45413</v>
      </c>
      <c r="C336" t="s">
        <v>53</v>
      </c>
      <c r="D336" t="s">
        <v>92</v>
      </c>
      <c r="E336" t="s">
        <v>63</v>
      </c>
      <c r="F336" t="s">
        <v>64</v>
      </c>
      <c r="G336" t="s">
        <v>65</v>
      </c>
      <c r="H336">
        <v>4000</v>
      </c>
      <c r="I336">
        <v>12</v>
      </c>
      <c r="J336">
        <v>10</v>
      </c>
      <c r="K336">
        <v>20</v>
      </c>
      <c r="L336">
        <v>43200</v>
      </c>
      <c r="M336">
        <v>40670.199999999997</v>
      </c>
      <c r="N336">
        <f t="shared" si="6"/>
        <v>2529.8000000000029</v>
      </c>
      <c r="O336" t="s">
        <v>38</v>
      </c>
      <c r="P336" t="s">
        <v>31</v>
      </c>
      <c r="Q336" t="s">
        <v>39</v>
      </c>
    </row>
    <row r="337" spans="1:17" x14ac:dyDescent="0.3">
      <c r="A337" t="s">
        <v>415</v>
      </c>
      <c r="B337" s="1">
        <v>45379</v>
      </c>
      <c r="C337" t="s">
        <v>18</v>
      </c>
      <c r="D337" t="s">
        <v>92</v>
      </c>
      <c r="E337" t="s">
        <v>20</v>
      </c>
      <c r="F337" t="s">
        <v>21</v>
      </c>
      <c r="G337" t="s">
        <v>22</v>
      </c>
      <c r="H337">
        <v>6000</v>
      </c>
      <c r="I337">
        <v>6</v>
      </c>
      <c r="J337">
        <v>10</v>
      </c>
      <c r="K337">
        <v>0</v>
      </c>
      <c r="L337">
        <v>32400</v>
      </c>
      <c r="M337">
        <v>33430.68</v>
      </c>
      <c r="N337">
        <f t="shared" si="6"/>
        <v>-1030.6800000000003</v>
      </c>
      <c r="O337" t="s">
        <v>23</v>
      </c>
      <c r="P337" t="s">
        <v>24</v>
      </c>
      <c r="Q337" t="s">
        <v>25</v>
      </c>
    </row>
    <row r="338" spans="1:17" x14ac:dyDescent="0.3">
      <c r="A338" t="s">
        <v>416</v>
      </c>
      <c r="B338" s="1">
        <v>45407</v>
      </c>
      <c r="C338" t="s">
        <v>49</v>
      </c>
      <c r="D338" t="s">
        <v>19</v>
      </c>
      <c r="E338" t="s">
        <v>102</v>
      </c>
      <c r="F338" t="s">
        <v>29</v>
      </c>
      <c r="G338" t="s">
        <v>43</v>
      </c>
      <c r="H338">
        <v>1500</v>
      </c>
      <c r="I338">
        <v>3</v>
      </c>
      <c r="J338">
        <v>15</v>
      </c>
      <c r="K338">
        <v>5</v>
      </c>
      <c r="L338">
        <v>3825</v>
      </c>
      <c r="M338">
        <v>3449.52</v>
      </c>
      <c r="N338">
        <f t="shared" si="6"/>
        <v>375.48</v>
      </c>
      <c r="O338" t="s">
        <v>23</v>
      </c>
      <c r="P338" t="s">
        <v>31</v>
      </c>
      <c r="Q338" t="s">
        <v>32</v>
      </c>
    </row>
    <row r="339" spans="1:17" x14ac:dyDescent="0.3">
      <c r="A339" t="s">
        <v>417</v>
      </c>
      <c r="B339" s="1">
        <v>45429</v>
      </c>
      <c r="C339" t="s">
        <v>49</v>
      </c>
      <c r="D339" t="s">
        <v>41</v>
      </c>
      <c r="E339" t="s">
        <v>90</v>
      </c>
      <c r="F339" t="s">
        <v>29</v>
      </c>
      <c r="G339" t="s">
        <v>37</v>
      </c>
      <c r="H339">
        <v>6500</v>
      </c>
      <c r="I339">
        <v>4</v>
      </c>
      <c r="J339">
        <v>5</v>
      </c>
      <c r="K339">
        <v>25</v>
      </c>
      <c r="L339">
        <v>24700</v>
      </c>
      <c r="M339">
        <v>23575.200000000001</v>
      </c>
      <c r="N339">
        <f t="shared" si="6"/>
        <v>1124.7999999999993</v>
      </c>
      <c r="O339" t="s">
        <v>38</v>
      </c>
      <c r="P339" t="s">
        <v>31</v>
      </c>
      <c r="Q339" t="s">
        <v>39</v>
      </c>
    </row>
    <row r="340" spans="1:17" x14ac:dyDescent="0.3">
      <c r="A340" t="s">
        <v>418</v>
      </c>
      <c r="B340" s="1">
        <v>45423</v>
      </c>
      <c r="C340" t="s">
        <v>49</v>
      </c>
      <c r="D340" t="s">
        <v>19</v>
      </c>
      <c r="E340" t="s">
        <v>45</v>
      </c>
      <c r="F340" t="s">
        <v>46</v>
      </c>
      <c r="G340" t="s">
        <v>47</v>
      </c>
      <c r="H340">
        <v>15000</v>
      </c>
      <c r="I340">
        <v>1</v>
      </c>
      <c r="J340">
        <v>15</v>
      </c>
      <c r="K340">
        <v>5</v>
      </c>
      <c r="L340">
        <v>12750</v>
      </c>
      <c r="M340">
        <v>12420.86</v>
      </c>
      <c r="N340">
        <f t="shared" si="6"/>
        <v>329.13999999999942</v>
      </c>
      <c r="O340" t="s">
        <v>23</v>
      </c>
      <c r="P340" t="s">
        <v>31</v>
      </c>
      <c r="Q340" t="s">
        <v>32</v>
      </c>
    </row>
    <row r="341" spans="1:17" x14ac:dyDescent="0.3">
      <c r="A341" t="s">
        <v>419</v>
      </c>
      <c r="B341" s="1">
        <v>45450</v>
      </c>
      <c r="C341" t="s">
        <v>49</v>
      </c>
      <c r="D341" t="s">
        <v>70</v>
      </c>
      <c r="E341" t="s">
        <v>63</v>
      </c>
      <c r="F341" t="s">
        <v>64</v>
      </c>
      <c r="G341" t="s">
        <v>65</v>
      </c>
      <c r="H341">
        <v>4000</v>
      </c>
      <c r="I341">
        <v>9</v>
      </c>
      <c r="J341">
        <v>15</v>
      </c>
      <c r="K341">
        <v>20</v>
      </c>
      <c r="L341">
        <v>30600</v>
      </c>
      <c r="M341">
        <v>30203.91</v>
      </c>
      <c r="N341">
        <f t="shared" si="6"/>
        <v>396.09000000000015</v>
      </c>
      <c r="O341" t="s">
        <v>38</v>
      </c>
      <c r="P341" t="s">
        <v>31</v>
      </c>
      <c r="Q341" t="s">
        <v>39</v>
      </c>
    </row>
    <row r="342" spans="1:17" x14ac:dyDescent="0.3">
      <c r="A342" t="s">
        <v>420</v>
      </c>
      <c r="B342" s="1">
        <v>45329</v>
      </c>
      <c r="C342" t="s">
        <v>34</v>
      </c>
      <c r="D342" t="s">
        <v>41</v>
      </c>
      <c r="E342" t="s">
        <v>81</v>
      </c>
      <c r="F342" t="s">
        <v>21</v>
      </c>
      <c r="G342" t="s">
        <v>82</v>
      </c>
      <c r="H342">
        <v>8000</v>
      </c>
      <c r="I342">
        <v>15</v>
      </c>
      <c r="J342">
        <v>15</v>
      </c>
      <c r="K342">
        <v>15</v>
      </c>
      <c r="L342">
        <v>102000</v>
      </c>
      <c r="M342">
        <v>94999.28</v>
      </c>
      <c r="N342">
        <f t="shared" si="6"/>
        <v>7000.7200000000012</v>
      </c>
      <c r="O342" t="s">
        <v>23</v>
      </c>
      <c r="P342" t="s">
        <v>31</v>
      </c>
      <c r="Q342" t="s">
        <v>32</v>
      </c>
    </row>
    <row r="343" spans="1:17" x14ac:dyDescent="0.3">
      <c r="A343" t="s">
        <v>421</v>
      </c>
      <c r="B343" s="1">
        <v>45391</v>
      </c>
      <c r="C343" t="s">
        <v>49</v>
      </c>
      <c r="D343" t="s">
        <v>70</v>
      </c>
      <c r="E343" t="s">
        <v>140</v>
      </c>
      <c r="F343" t="s">
        <v>141</v>
      </c>
      <c r="G343" t="s">
        <v>142</v>
      </c>
      <c r="H343">
        <v>12000</v>
      </c>
      <c r="I343">
        <v>13</v>
      </c>
      <c r="J343">
        <v>15</v>
      </c>
      <c r="K343">
        <v>10</v>
      </c>
      <c r="L343">
        <v>132600</v>
      </c>
      <c r="M343">
        <v>113293.27</v>
      </c>
      <c r="N343">
        <f t="shared" si="6"/>
        <v>19306.729999999996</v>
      </c>
      <c r="O343" t="s">
        <v>23</v>
      </c>
      <c r="P343" t="s">
        <v>31</v>
      </c>
      <c r="Q343" t="s">
        <v>32</v>
      </c>
    </row>
    <row r="344" spans="1:17" x14ac:dyDescent="0.3">
      <c r="A344" t="s">
        <v>422</v>
      </c>
      <c r="B344" s="1">
        <v>45313</v>
      </c>
      <c r="C344" t="s">
        <v>18</v>
      </c>
      <c r="D344" t="s">
        <v>92</v>
      </c>
      <c r="E344" t="s">
        <v>63</v>
      </c>
      <c r="F344" t="s">
        <v>64</v>
      </c>
      <c r="G344" t="s">
        <v>65</v>
      </c>
      <c r="H344">
        <v>4000</v>
      </c>
      <c r="I344">
        <v>12</v>
      </c>
      <c r="J344">
        <v>5</v>
      </c>
      <c r="K344">
        <v>25</v>
      </c>
      <c r="L344">
        <v>45600</v>
      </c>
      <c r="M344">
        <v>43740.480000000003</v>
      </c>
      <c r="N344">
        <f t="shared" si="6"/>
        <v>1859.5199999999968</v>
      </c>
      <c r="O344" t="s">
        <v>38</v>
      </c>
      <c r="P344" t="s">
        <v>31</v>
      </c>
      <c r="Q344" t="s">
        <v>39</v>
      </c>
    </row>
    <row r="345" spans="1:17" x14ac:dyDescent="0.3">
      <c r="A345" t="s">
        <v>423</v>
      </c>
      <c r="B345" s="1">
        <v>45452</v>
      </c>
      <c r="C345" t="s">
        <v>49</v>
      </c>
      <c r="D345" t="s">
        <v>41</v>
      </c>
      <c r="E345" t="s">
        <v>167</v>
      </c>
      <c r="F345" t="s">
        <v>21</v>
      </c>
      <c r="G345" t="s">
        <v>82</v>
      </c>
      <c r="H345">
        <v>7000</v>
      </c>
      <c r="I345">
        <v>4</v>
      </c>
      <c r="J345">
        <v>10</v>
      </c>
      <c r="K345">
        <v>20</v>
      </c>
      <c r="L345">
        <v>25200</v>
      </c>
      <c r="M345">
        <v>24777.45</v>
      </c>
      <c r="N345">
        <f t="shared" si="6"/>
        <v>422.54999999999927</v>
      </c>
      <c r="O345" t="s">
        <v>38</v>
      </c>
      <c r="P345" t="s">
        <v>31</v>
      </c>
      <c r="Q345" t="s">
        <v>39</v>
      </c>
    </row>
    <row r="346" spans="1:17" x14ac:dyDescent="0.3">
      <c r="A346" t="s">
        <v>424</v>
      </c>
      <c r="B346" s="1">
        <v>45358</v>
      </c>
      <c r="C346" t="s">
        <v>34</v>
      </c>
      <c r="D346" t="s">
        <v>70</v>
      </c>
      <c r="E346" t="s">
        <v>90</v>
      </c>
      <c r="F346" t="s">
        <v>29</v>
      </c>
      <c r="G346" t="s">
        <v>37</v>
      </c>
      <c r="H346">
        <v>6500</v>
      </c>
      <c r="I346">
        <v>12</v>
      </c>
      <c r="J346">
        <v>10</v>
      </c>
      <c r="K346">
        <v>0</v>
      </c>
      <c r="L346">
        <v>70200</v>
      </c>
      <c r="M346">
        <v>61810.95</v>
      </c>
      <c r="N346">
        <f t="shared" si="6"/>
        <v>8389.0500000000029</v>
      </c>
      <c r="O346" t="s">
        <v>23</v>
      </c>
      <c r="P346" t="s">
        <v>31</v>
      </c>
      <c r="Q346" t="s">
        <v>32</v>
      </c>
    </row>
    <row r="347" spans="1:17" x14ac:dyDescent="0.3">
      <c r="A347" t="s">
        <v>425</v>
      </c>
      <c r="B347" s="1">
        <v>45400</v>
      </c>
      <c r="C347" t="s">
        <v>53</v>
      </c>
      <c r="D347" t="s">
        <v>41</v>
      </c>
      <c r="E347" t="s">
        <v>107</v>
      </c>
      <c r="F347" t="s">
        <v>108</v>
      </c>
      <c r="G347" t="s">
        <v>109</v>
      </c>
      <c r="H347">
        <v>18000</v>
      </c>
      <c r="I347">
        <v>3</v>
      </c>
      <c r="J347">
        <v>10</v>
      </c>
      <c r="K347">
        <v>10</v>
      </c>
      <c r="L347">
        <v>48600</v>
      </c>
      <c r="M347">
        <v>42141.81</v>
      </c>
      <c r="N347">
        <f t="shared" si="6"/>
        <v>6458.1900000000023</v>
      </c>
      <c r="O347" t="s">
        <v>23</v>
      </c>
      <c r="P347" t="s">
        <v>31</v>
      </c>
      <c r="Q347" t="s">
        <v>32</v>
      </c>
    </row>
    <row r="348" spans="1:17" x14ac:dyDescent="0.3">
      <c r="A348" t="s">
        <v>426</v>
      </c>
      <c r="B348" s="1">
        <v>45390</v>
      </c>
      <c r="C348" t="s">
        <v>49</v>
      </c>
      <c r="D348" t="s">
        <v>41</v>
      </c>
      <c r="E348" t="s">
        <v>75</v>
      </c>
      <c r="F348" t="s">
        <v>76</v>
      </c>
      <c r="G348" t="s">
        <v>77</v>
      </c>
      <c r="H348">
        <v>8000</v>
      </c>
      <c r="I348">
        <v>5</v>
      </c>
      <c r="J348">
        <v>5</v>
      </c>
      <c r="K348">
        <v>25</v>
      </c>
      <c r="L348">
        <v>38000</v>
      </c>
      <c r="M348">
        <v>34908.910000000003</v>
      </c>
      <c r="N348">
        <f t="shared" si="6"/>
        <v>3091.0899999999965</v>
      </c>
      <c r="O348" t="s">
        <v>38</v>
      </c>
      <c r="P348" t="s">
        <v>31</v>
      </c>
      <c r="Q348" t="s">
        <v>39</v>
      </c>
    </row>
    <row r="349" spans="1:17" x14ac:dyDescent="0.3">
      <c r="A349" t="s">
        <v>427</v>
      </c>
      <c r="B349" s="1">
        <v>45430</v>
      </c>
      <c r="C349" t="s">
        <v>18</v>
      </c>
      <c r="D349" t="s">
        <v>27</v>
      </c>
      <c r="E349" t="s">
        <v>63</v>
      </c>
      <c r="F349" t="s">
        <v>64</v>
      </c>
      <c r="G349" t="s">
        <v>65</v>
      </c>
      <c r="H349">
        <v>4000</v>
      </c>
      <c r="I349">
        <v>13</v>
      </c>
      <c r="J349">
        <v>15</v>
      </c>
      <c r="K349">
        <v>5</v>
      </c>
      <c r="L349">
        <v>44200</v>
      </c>
      <c r="M349">
        <v>45613.04</v>
      </c>
      <c r="N349">
        <f t="shared" si="6"/>
        <v>-1413.0400000000009</v>
      </c>
      <c r="O349" t="s">
        <v>23</v>
      </c>
      <c r="P349" t="s">
        <v>24</v>
      </c>
      <c r="Q349" t="s">
        <v>25</v>
      </c>
    </row>
    <row r="350" spans="1:17" x14ac:dyDescent="0.3">
      <c r="A350" t="s">
        <v>428</v>
      </c>
      <c r="B350" s="1">
        <v>45355</v>
      </c>
      <c r="C350" t="s">
        <v>49</v>
      </c>
      <c r="D350" t="s">
        <v>35</v>
      </c>
      <c r="E350" t="s">
        <v>151</v>
      </c>
      <c r="F350" t="s">
        <v>141</v>
      </c>
      <c r="G350" t="s">
        <v>142</v>
      </c>
      <c r="H350">
        <v>3500</v>
      </c>
      <c r="I350">
        <v>8</v>
      </c>
      <c r="J350">
        <v>15</v>
      </c>
      <c r="K350">
        <v>0</v>
      </c>
      <c r="L350">
        <v>23800</v>
      </c>
      <c r="M350">
        <v>22896.2</v>
      </c>
      <c r="N350">
        <f t="shared" si="6"/>
        <v>903.79999999999927</v>
      </c>
      <c r="O350" t="s">
        <v>23</v>
      </c>
      <c r="P350" t="s">
        <v>31</v>
      </c>
      <c r="Q350" t="s">
        <v>32</v>
      </c>
    </row>
    <row r="351" spans="1:17" x14ac:dyDescent="0.3">
      <c r="A351" t="s">
        <v>429</v>
      </c>
      <c r="B351" s="1">
        <v>45390</v>
      </c>
      <c r="C351" t="s">
        <v>53</v>
      </c>
      <c r="D351" t="s">
        <v>35</v>
      </c>
      <c r="E351" t="s">
        <v>167</v>
      </c>
      <c r="F351" t="s">
        <v>21</v>
      </c>
      <c r="G351" t="s">
        <v>82</v>
      </c>
      <c r="H351">
        <v>7000</v>
      </c>
      <c r="I351">
        <v>9</v>
      </c>
      <c r="J351">
        <v>15</v>
      </c>
      <c r="K351">
        <v>15</v>
      </c>
      <c r="L351">
        <v>53550</v>
      </c>
      <c r="M351">
        <v>49859.61</v>
      </c>
      <c r="N351">
        <f t="shared" si="6"/>
        <v>3690.3899999999994</v>
      </c>
      <c r="O351" t="s">
        <v>23</v>
      </c>
      <c r="P351" t="s">
        <v>31</v>
      </c>
      <c r="Q351" t="s">
        <v>32</v>
      </c>
    </row>
    <row r="352" spans="1:17" x14ac:dyDescent="0.3">
      <c r="A352" t="s">
        <v>430</v>
      </c>
      <c r="B352" s="1">
        <v>45449</v>
      </c>
      <c r="C352" t="s">
        <v>18</v>
      </c>
      <c r="D352" t="s">
        <v>27</v>
      </c>
      <c r="E352" t="s">
        <v>151</v>
      </c>
      <c r="F352" t="s">
        <v>141</v>
      </c>
      <c r="G352" t="s">
        <v>142</v>
      </c>
      <c r="H352">
        <v>3500</v>
      </c>
      <c r="I352">
        <v>1</v>
      </c>
      <c r="J352">
        <v>10</v>
      </c>
      <c r="K352">
        <v>20</v>
      </c>
      <c r="L352">
        <v>3150</v>
      </c>
      <c r="M352">
        <v>2991.37</v>
      </c>
      <c r="N352">
        <f t="shared" si="6"/>
        <v>158.63000000000011</v>
      </c>
      <c r="O352" t="s">
        <v>38</v>
      </c>
      <c r="P352" t="s">
        <v>31</v>
      </c>
      <c r="Q352" t="s">
        <v>39</v>
      </c>
    </row>
    <row r="353" spans="1:17" x14ac:dyDescent="0.3">
      <c r="A353" t="s">
        <v>431</v>
      </c>
      <c r="B353" s="1">
        <v>45437</v>
      </c>
      <c r="C353" t="s">
        <v>53</v>
      </c>
      <c r="D353" t="s">
        <v>41</v>
      </c>
      <c r="E353" t="s">
        <v>107</v>
      </c>
      <c r="F353" t="s">
        <v>108</v>
      </c>
      <c r="G353" t="s">
        <v>109</v>
      </c>
      <c r="H353">
        <v>18000</v>
      </c>
      <c r="I353">
        <v>3</v>
      </c>
      <c r="J353">
        <v>10</v>
      </c>
      <c r="K353">
        <v>15</v>
      </c>
      <c r="L353">
        <v>48600</v>
      </c>
      <c r="M353">
        <v>46436.42</v>
      </c>
      <c r="N353">
        <f t="shared" si="6"/>
        <v>2163.5800000000017</v>
      </c>
      <c r="O353" t="s">
        <v>38</v>
      </c>
      <c r="P353" t="s">
        <v>31</v>
      </c>
      <c r="Q353" t="s">
        <v>39</v>
      </c>
    </row>
    <row r="354" spans="1:17" x14ac:dyDescent="0.3">
      <c r="A354" t="s">
        <v>432</v>
      </c>
      <c r="B354" s="1">
        <v>45461</v>
      </c>
      <c r="C354" t="s">
        <v>49</v>
      </c>
      <c r="D354" t="s">
        <v>92</v>
      </c>
      <c r="E354" t="s">
        <v>57</v>
      </c>
      <c r="F354" t="s">
        <v>46</v>
      </c>
      <c r="G354" t="s">
        <v>58</v>
      </c>
      <c r="H354">
        <v>18000</v>
      </c>
      <c r="I354">
        <v>8</v>
      </c>
      <c r="J354">
        <v>10</v>
      </c>
      <c r="K354">
        <v>20</v>
      </c>
      <c r="L354">
        <v>129600</v>
      </c>
      <c r="M354">
        <v>120810.21</v>
      </c>
      <c r="N354">
        <f t="shared" si="6"/>
        <v>8789.7899999999936</v>
      </c>
      <c r="O354" t="s">
        <v>38</v>
      </c>
      <c r="P354" t="s">
        <v>31</v>
      </c>
      <c r="Q354" t="s">
        <v>39</v>
      </c>
    </row>
    <row r="355" spans="1:17" x14ac:dyDescent="0.3">
      <c r="A355" t="s">
        <v>433</v>
      </c>
      <c r="B355" s="1">
        <v>45421</v>
      </c>
      <c r="C355" t="s">
        <v>49</v>
      </c>
      <c r="D355" t="s">
        <v>41</v>
      </c>
      <c r="E355" t="s">
        <v>107</v>
      </c>
      <c r="F355" t="s">
        <v>108</v>
      </c>
      <c r="G355" t="s">
        <v>109</v>
      </c>
      <c r="H355">
        <v>18000</v>
      </c>
      <c r="I355">
        <v>6</v>
      </c>
      <c r="J355">
        <v>15</v>
      </c>
      <c r="K355">
        <v>25</v>
      </c>
      <c r="L355">
        <v>91800</v>
      </c>
      <c r="M355">
        <v>80307.899999999994</v>
      </c>
      <c r="N355">
        <f t="shared" si="6"/>
        <v>11492.100000000006</v>
      </c>
      <c r="O355" t="s">
        <v>38</v>
      </c>
      <c r="P355" t="s">
        <v>31</v>
      </c>
      <c r="Q355" t="s">
        <v>39</v>
      </c>
    </row>
    <row r="356" spans="1:17" x14ac:dyDescent="0.3">
      <c r="A356" t="s">
        <v>434</v>
      </c>
      <c r="B356" s="1">
        <v>45403</v>
      </c>
      <c r="C356" t="s">
        <v>53</v>
      </c>
      <c r="D356" t="s">
        <v>92</v>
      </c>
      <c r="E356" t="s">
        <v>104</v>
      </c>
      <c r="F356" t="s">
        <v>29</v>
      </c>
      <c r="G356" t="s">
        <v>30</v>
      </c>
      <c r="H356">
        <v>1200</v>
      </c>
      <c r="I356">
        <v>11</v>
      </c>
      <c r="J356">
        <v>5</v>
      </c>
      <c r="K356">
        <v>15</v>
      </c>
      <c r="L356">
        <v>12540</v>
      </c>
      <c r="M356">
        <v>10693.74</v>
      </c>
      <c r="N356">
        <f t="shared" si="6"/>
        <v>1846.2600000000002</v>
      </c>
      <c r="O356" t="s">
        <v>38</v>
      </c>
      <c r="P356" t="s">
        <v>31</v>
      </c>
      <c r="Q356" t="s">
        <v>39</v>
      </c>
    </row>
    <row r="357" spans="1:17" x14ac:dyDescent="0.3">
      <c r="A357" t="s">
        <v>435</v>
      </c>
      <c r="B357" s="1">
        <v>45351</v>
      </c>
      <c r="C357" t="s">
        <v>34</v>
      </c>
      <c r="D357" t="s">
        <v>19</v>
      </c>
      <c r="E357" t="s">
        <v>100</v>
      </c>
      <c r="F357" t="s">
        <v>46</v>
      </c>
      <c r="G357" t="s">
        <v>55</v>
      </c>
      <c r="H357">
        <v>2500</v>
      </c>
      <c r="I357">
        <v>9</v>
      </c>
      <c r="J357">
        <v>5</v>
      </c>
      <c r="K357">
        <v>15</v>
      </c>
      <c r="L357">
        <v>21375</v>
      </c>
      <c r="M357">
        <v>22276.1</v>
      </c>
      <c r="N357">
        <f t="shared" si="6"/>
        <v>-901.09999999999854</v>
      </c>
      <c r="O357" t="s">
        <v>38</v>
      </c>
      <c r="P357" t="s">
        <v>24</v>
      </c>
      <c r="Q357" t="s">
        <v>39</v>
      </c>
    </row>
    <row r="358" spans="1:17" x14ac:dyDescent="0.3">
      <c r="A358" t="s">
        <v>436</v>
      </c>
      <c r="B358" s="1">
        <v>45299</v>
      </c>
      <c r="C358" t="s">
        <v>18</v>
      </c>
      <c r="D358" t="s">
        <v>41</v>
      </c>
      <c r="E358" t="s">
        <v>129</v>
      </c>
      <c r="F358" t="s">
        <v>21</v>
      </c>
      <c r="G358" t="s">
        <v>82</v>
      </c>
      <c r="H358">
        <v>3500</v>
      </c>
      <c r="I358">
        <v>1</v>
      </c>
      <c r="J358">
        <v>10</v>
      </c>
      <c r="K358">
        <v>5</v>
      </c>
      <c r="L358">
        <v>3150</v>
      </c>
      <c r="M358">
        <v>3129.6</v>
      </c>
      <c r="N358">
        <f t="shared" si="6"/>
        <v>20.400000000000091</v>
      </c>
      <c r="O358" t="s">
        <v>23</v>
      </c>
      <c r="P358" t="s">
        <v>31</v>
      </c>
      <c r="Q358" t="s">
        <v>32</v>
      </c>
    </row>
    <row r="359" spans="1:17" x14ac:dyDescent="0.3">
      <c r="A359" t="s">
        <v>437</v>
      </c>
      <c r="B359" s="1">
        <v>45325</v>
      </c>
      <c r="C359" t="s">
        <v>18</v>
      </c>
      <c r="D359" t="s">
        <v>27</v>
      </c>
      <c r="E359" t="s">
        <v>63</v>
      </c>
      <c r="F359" t="s">
        <v>64</v>
      </c>
      <c r="G359" t="s">
        <v>65</v>
      </c>
      <c r="H359">
        <v>4000</v>
      </c>
      <c r="I359">
        <v>15</v>
      </c>
      <c r="J359">
        <v>15</v>
      </c>
      <c r="K359">
        <v>20</v>
      </c>
      <c r="L359">
        <v>51000</v>
      </c>
      <c r="M359">
        <v>51237.89</v>
      </c>
      <c r="N359">
        <f t="shared" si="6"/>
        <v>-237.88999999999942</v>
      </c>
      <c r="O359" t="s">
        <v>38</v>
      </c>
      <c r="P359" t="s">
        <v>24</v>
      </c>
      <c r="Q359" t="s">
        <v>39</v>
      </c>
    </row>
    <row r="360" spans="1:17" x14ac:dyDescent="0.3">
      <c r="A360" t="s">
        <v>438</v>
      </c>
      <c r="B360" s="1">
        <v>45353</v>
      </c>
      <c r="C360" t="s">
        <v>34</v>
      </c>
      <c r="D360" t="s">
        <v>41</v>
      </c>
      <c r="E360" t="s">
        <v>151</v>
      </c>
      <c r="F360" t="s">
        <v>141</v>
      </c>
      <c r="G360" t="s">
        <v>142</v>
      </c>
      <c r="H360">
        <v>3500</v>
      </c>
      <c r="I360">
        <v>8</v>
      </c>
      <c r="J360">
        <v>5</v>
      </c>
      <c r="K360">
        <v>0</v>
      </c>
      <c r="L360">
        <v>26600</v>
      </c>
      <c r="M360">
        <v>25894.799999999999</v>
      </c>
      <c r="N360">
        <f t="shared" si="6"/>
        <v>705.20000000000073</v>
      </c>
      <c r="O360" t="s">
        <v>23</v>
      </c>
      <c r="P360" t="s">
        <v>31</v>
      </c>
      <c r="Q360" t="s">
        <v>32</v>
      </c>
    </row>
    <row r="361" spans="1:17" x14ac:dyDescent="0.3">
      <c r="A361" t="s">
        <v>439</v>
      </c>
      <c r="B361" s="1">
        <v>45403</v>
      </c>
      <c r="C361" t="s">
        <v>53</v>
      </c>
      <c r="D361" t="s">
        <v>70</v>
      </c>
      <c r="E361" t="s">
        <v>151</v>
      </c>
      <c r="F361" t="s">
        <v>141</v>
      </c>
      <c r="G361" t="s">
        <v>142</v>
      </c>
      <c r="H361">
        <v>3500</v>
      </c>
      <c r="I361">
        <v>9</v>
      </c>
      <c r="J361">
        <v>5</v>
      </c>
      <c r="K361">
        <v>5</v>
      </c>
      <c r="L361">
        <v>29925</v>
      </c>
      <c r="M361">
        <v>29387.32</v>
      </c>
      <c r="N361">
        <f t="shared" si="6"/>
        <v>537.68000000000029</v>
      </c>
      <c r="O361" t="s">
        <v>23</v>
      </c>
      <c r="P361" t="s">
        <v>31</v>
      </c>
      <c r="Q361" t="s">
        <v>32</v>
      </c>
    </row>
    <row r="362" spans="1:17" x14ac:dyDescent="0.3">
      <c r="A362" t="s">
        <v>440</v>
      </c>
      <c r="B362" s="1">
        <v>45355</v>
      </c>
      <c r="C362" t="s">
        <v>34</v>
      </c>
      <c r="D362" t="s">
        <v>27</v>
      </c>
      <c r="E362" t="s">
        <v>42</v>
      </c>
      <c r="F362" t="s">
        <v>29</v>
      </c>
      <c r="G362" t="s">
        <v>43</v>
      </c>
      <c r="H362">
        <v>500</v>
      </c>
      <c r="I362">
        <v>3</v>
      </c>
      <c r="J362">
        <v>10</v>
      </c>
      <c r="K362">
        <v>0</v>
      </c>
      <c r="L362">
        <v>1350</v>
      </c>
      <c r="M362">
        <v>1331.37</v>
      </c>
      <c r="N362">
        <f t="shared" si="6"/>
        <v>18.630000000000109</v>
      </c>
      <c r="O362" t="s">
        <v>23</v>
      </c>
      <c r="P362" t="s">
        <v>31</v>
      </c>
      <c r="Q362" t="s">
        <v>32</v>
      </c>
    </row>
    <row r="363" spans="1:17" x14ac:dyDescent="0.3">
      <c r="A363" t="s">
        <v>441</v>
      </c>
      <c r="B363" s="1">
        <v>45421</v>
      </c>
      <c r="C363" t="s">
        <v>49</v>
      </c>
      <c r="D363" t="s">
        <v>35</v>
      </c>
      <c r="E363" t="s">
        <v>50</v>
      </c>
      <c r="F363" t="s">
        <v>21</v>
      </c>
      <c r="G363" t="s">
        <v>51</v>
      </c>
      <c r="H363">
        <v>4500</v>
      </c>
      <c r="I363">
        <v>13</v>
      </c>
      <c r="J363">
        <v>15</v>
      </c>
      <c r="K363">
        <v>5</v>
      </c>
      <c r="L363">
        <v>49725</v>
      </c>
      <c r="M363">
        <v>51264.33</v>
      </c>
      <c r="N363">
        <f t="shared" si="6"/>
        <v>-1539.3300000000017</v>
      </c>
      <c r="O363" t="s">
        <v>23</v>
      </c>
      <c r="P363" t="s">
        <v>24</v>
      </c>
      <c r="Q363" t="s">
        <v>25</v>
      </c>
    </row>
    <row r="364" spans="1:17" x14ac:dyDescent="0.3">
      <c r="A364" t="s">
        <v>442</v>
      </c>
      <c r="B364" s="1">
        <v>45452</v>
      </c>
      <c r="C364" t="s">
        <v>34</v>
      </c>
      <c r="D364" t="s">
        <v>70</v>
      </c>
      <c r="E364" t="s">
        <v>104</v>
      </c>
      <c r="F364" t="s">
        <v>29</v>
      </c>
      <c r="G364" t="s">
        <v>30</v>
      </c>
      <c r="H364">
        <v>1200</v>
      </c>
      <c r="I364">
        <v>3</v>
      </c>
      <c r="J364">
        <v>10</v>
      </c>
      <c r="K364">
        <v>10</v>
      </c>
      <c r="L364">
        <v>3240</v>
      </c>
      <c r="M364">
        <v>2757.3</v>
      </c>
      <c r="N364">
        <f t="shared" si="6"/>
        <v>482.69999999999982</v>
      </c>
      <c r="O364" t="s">
        <v>23</v>
      </c>
      <c r="P364" t="s">
        <v>31</v>
      </c>
      <c r="Q364" t="s">
        <v>32</v>
      </c>
    </row>
    <row r="365" spans="1:17" x14ac:dyDescent="0.3">
      <c r="A365" t="s">
        <v>443</v>
      </c>
      <c r="B365" s="1">
        <v>45345</v>
      </c>
      <c r="C365" t="s">
        <v>53</v>
      </c>
      <c r="D365" t="s">
        <v>19</v>
      </c>
      <c r="E365" t="s">
        <v>57</v>
      </c>
      <c r="F365" t="s">
        <v>46</v>
      </c>
      <c r="G365" t="s">
        <v>58</v>
      </c>
      <c r="H365">
        <v>18000</v>
      </c>
      <c r="I365">
        <v>4</v>
      </c>
      <c r="J365">
        <v>10</v>
      </c>
      <c r="K365">
        <v>25</v>
      </c>
      <c r="L365">
        <v>64800</v>
      </c>
      <c r="M365">
        <v>55842.69</v>
      </c>
      <c r="N365">
        <f t="shared" si="6"/>
        <v>8957.3099999999977</v>
      </c>
      <c r="O365" t="s">
        <v>38</v>
      </c>
      <c r="P365" t="s">
        <v>31</v>
      </c>
      <c r="Q365" t="s">
        <v>39</v>
      </c>
    </row>
    <row r="366" spans="1:17" x14ac:dyDescent="0.3">
      <c r="A366" t="s">
        <v>444</v>
      </c>
      <c r="B366" s="1">
        <v>45356</v>
      </c>
      <c r="C366" t="s">
        <v>49</v>
      </c>
      <c r="D366" t="s">
        <v>19</v>
      </c>
      <c r="E366" t="s">
        <v>57</v>
      </c>
      <c r="F366" t="s">
        <v>46</v>
      </c>
      <c r="G366" t="s">
        <v>58</v>
      </c>
      <c r="H366">
        <v>18000</v>
      </c>
      <c r="I366">
        <v>8</v>
      </c>
      <c r="J366">
        <v>5</v>
      </c>
      <c r="K366">
        <v>20</v>
      </c>
      <c r="L366">
        <v>136800</v>
      </c>
      <c r="M366">
        <v>119482.47</v>
      </c>
      <c r="N366">
        <f t="shared" si="6"/>
        <v>17317.53</v>
      </c>
      <c r="O366" t="s">
        <v>38</v>
      </c>
      <c r="P366" t="s">
        <v>31</v>
      </c>
      <c r="Q366" t="s">
        <v>39</v>
      </c>
    </row>
    <row r="367" spans="1:17" x14ac:dyDescent="0.3">
      <c r="A367" t="s">
        <v>445</v>
      </c>
      <c r="B367" s="1">
        <v>45388</v>
      </c>
      <c r="C367" t="s">
        <v>49</v>
      </c>
      <c r="D367" t="s">
        <v>27</v>
      </c>
      <c r="E367" t="s">
        <v>104</v>
      </c>
      <c r="F367" t="s">
        <v>29</v>
      </c>
      <c r="G367" t="s">
        <v>30</v>
      </c>
      <c r="H367">
        <v>1200</v>
      </c>
      <c r="I367">
        <v>7</v>
      </c>
      <c r="J367">
        <v>10</v>
      </c>
      <c r="K367">
        <v>5</v>
      </c>
      <c r="L367">
        <v>7560</v>
      </c>
      <c r="M367">
        <v>6547.81</v>
      </c>
      <c r="N367">
        <f t="shared" si="6"/>
        <v>1012.1899999999996</v>
      </c>
      <c r="O367" t="s">
        <v>23</v>
      </c>
      <c r="P367" t="s">
        <v>31</v>
      </c>
      <c r="Q367" t="s">
        <v>32</v>
      </c>
    </row>
    <row r="368" spans="1:17" x14ac:dyDescent="0.3">
      <c r="A368" t="s">
        <v>446</v>
      </c>
      <c r="B368" s="1">
        <v>45329</v>
      </c>
      <c r="C368" t="s">
        <v>18</v>
      </c>
      <c r="D368" t="s">
        <v>70</v>
      </c>
      <c r="E368" t="s">
        <v>61</v>
      </c>
      <c r="F368" t="s">
        <v>29</v>
      </c>
      <c r="G368" t="s">
        <v>43</v>
      </c>
      <c r="H368">
        <v>2800</v>
      </c>
      <c r="I368">
        <v>4</v>
      </c>
      <c r="J368">
        <v>10</v>
      </c>
      <c r="K368">
        <v>20</v>
      </c>
      <c r="L368">
        <v>10080</v>
      </c>
      <c r="M368">
        <v>9007.7900000000009</v>
      </c>
      <c r="N368">
        <f t="shared" si="6"/>
        <v>1072.2099999999991</v>
      </c>
      <c r="O368" t="s">
        <v>38</v>
      </c>
      <c r="P368" t="s">
        <v>31</v>
      </c>
      <c r="Q368" t="s">
        <v>39</v>
      </c>
    </row>
    <row r="369" spans="1:17" x14ac:dyDescent="0.3">
      <c r="A369" t="s">
        <v>447</v>
      </c>
      <c r="B369" s="1">
        <v>45360</v>
      </c>
      <c r="C369" t="s">
        <v>34</v>
      </c>
      <c r="D369" t="s">
        <v>35</v>
      </c>
      <c r="E369" t="s">
        <v>167</v>
      </c>
      <c r="F369" t="s">
        <v>21</v>
      </c>
      <c r="G369" t="s">
        <v>82</v>
      </c>
      <c r="H369">
        <v>7000</v>
      </c>
      <c r="I369">
        <v>4</v>
      </c>
      <c r="J369">
        <v>5</v>
      </c>
      <c r="K369">
        <v>5</v>
      </c>
      <c r="L369">
        <v>26600</v>
      </c>
      <c r="M369">
        <v>25563.14</v>
      </c>
      <c r="N369">
        <f t="shared" si="6"/>
        <v>1036.8600000000006</v>
      </c>
      <c r="O369" t="s">
        <v>23</v>
      </c>
      <c r="P369" t="s">
        <v>31</v>
      </c>
      <c r="Q369" t="s">
        <v>32</v>
      </c>
    </row>
    <row r="370" spans="1:17" x14ac:dyDescent="0.3">
      <c r="A370" t="s">
        <v>448</v>
      </c>
      <c r="B370" s="1">
        <v>45386</v>
      </c>
      <c r="C370" t="s">
        <v>34</v>
      </c>
      <c r="D370" t="s">
        <v>92</v>
      </c>
      <c r="E370" t="s">
        <v>20</v>
      </c>
      <c r="F370" t="s">
        <v>21</v>
      </c>
      <c r="G370" t="s">
        <v>22</v>
      </c>
      <c r="H370">
        <v>6000</v>
      </c>
      <c r="I370">
        <v>12</v>
      </c>
      <c r="J370">
        <v>15</v>
      </c>
      <c r="K370">
        <v>15</v>
      </c>
      <c r="L370">
        <v>61200</v>
      </c>
      <c r="M370">
        <v>61884.1</v>
      </c>
      <c r="N370">
        <f t="shared" si="6"/>
        <v>-684.09999999999854</v>
      </c>
      <c r="O370" t="s">
        <v>23</v>
      </c>
      <c r="P370" t="s">
        <v>24</v>
      </c>
      <c r="Q370" t="s">
        <v>25</v>
      </c>
    </row>
    <row r="371" spans="1:17" x14ac:dyDescent="0.3">
      <c r="A371" t="s">
        <v>449</v>
      </c>
      <c r="B371" s="1">
        <v>45386</v>
      </c>
      <c r="C371" t="s">
        <v>34</v>
      </c>
      <c r="D371" t="s">
        <v>35</v>
      </c>
      <c r="E371" t="s">
        <v>67</v>
      </c>
      <c r="F371" t="s">
        <v>29</v>
      </c>
      <c r="G371" t="s">
        <v>68</v>
      </c>
      <c r="H371">
        <v>1200</v>
      </c>
      <c r="I371">
        <v>11</v>
      </c>
      <c r="J371">
        <v>15</v>
      </c>
      <c r="K371">
        <v>25</v>
      </c>
      <c r="L371">
        <v>11220</v>
      </c>
      <c r="M371">
        <v>9728.11</v>
      </c>
      <c r="N371">
        <f t="shared" si="6"/>
        <v>1491.8899999999994</v>
      </c>
      <c r="O371" t="s">
        <v>38</v>
      </c>
      <c r="P371" t="s">
        <v>31</v>
      </c>
      <c r="Q371" t="s">
        <v>39</v>
      </c>
    </row>
    <row r="372" spans="1:17" x14ac:dyDescent="0.3">
      <c r="A372" t="s">
        <v>450</v>
      </c>
      <c r="B372" s="1">
        <v>45331</v>
      </c>
      <c r="C372" t="s">
        <v>53</v>
      </c>
      <c r="D372" t="s">
        <v>70</v>
      </c>
      <c r="E372" t="s">
        <v>90</v>
      </c>
      <c r="F372" t="s">
        <v>29</v>
      </c>
      <c r="G372" t="s">
        <v>37</v>
      </c>
      <c r="H372">
        <v>6500</v>
      </c>
      <c r="I372">
        <v>10</v>
      </c>
      <c r="J372">
        <v>5</v>
      </c>
      <c r="K372">
        <v>20</v>
      </c>
      <c r="L372">
        <v>61750</v>
      </c>
      <c r="M372">
        <v>62463</v>
      </c>
      <c r="N372">
        <f t="shared" si="6"/>
        <v>-713</v>
      </c>
      <c r="O372" t="s">
        <v>38</v>
      </c>
      <c r="P372" t="s">
        <v>24</v>
      </c>
      <c r="Q372" t="s">
        <v>39</v>
      </c>
    </row>
    <row r="373" spans="1:17" x14ac:dyDescent="0.3">
      <c r="A373" t="s">
        <v>451</v>
      </c>
      <c r="B373" s="1">
        <v>45460</v>
      </c>
      <c r="C373" t="s">
        <v>49</v>
      </c>
      <c r="D373" t="s">
        <v>41</v>
      </c>
      <c r="E373" t="s">
        <v>61</v>
      </c>
      <c r="F373" t="s">
        <v>29</v>
      </c>
      <c r="G373" t="s">
        <v>43</v>
      </c>
      <c r="H373">
        <v>2800</v>
      </c>
      <c r="I373">
        <v>3</v>
      </c>
      <c r="J373">
        <v>10</v>
      </c>
      <c r="K373">
        <v>25</v>
      </c>
      <c r="L373">
        <v>7560</v>
      </c>
      <c r="M373">
        <v>7681.96</v>
      </c>
      <c r="N373">
        <f t="shared" si="6"/>
        <v>-121.96000000000004</v>
      </c>
      <c r="O373" t="s">
        <v>38</v>
      </c>
      <c r="P373" t="s">
        <v>24</v>
      </c>
      <c r="Q373" t="s">
        <v>39</v>
      </c>
    </row>
    <row r="374" spans="1:17" x14ac:dyDescent="0.3">
      <c r="A374" t="s">
        <v>452</v>
      </c>
      <c r="B374" s="1">
        <v>45462</v>
      </c>
      <c r="C374" t="s">
        <v>18</v>
      </c>
      <c r="D374" t="s">
        <v>92</v>
      </c>
      <c r="E374" t="s">
        <v>57</v>
      </c>
      <c r="F374" t="s">
        <v>46</v>
      </c>
      <c r="G374" t="s">
        <v>58</v>
      </c>
      <c r="H374">
        <v>18000</v>
      </c>
      <c r="I374">
        <v>10</v>
      </c>
      <c r="J374">
        <v>5</v>
      </c>
      <c r="K374">
        <v>5</v>
      </c>
      <c r="L374">
        <v>171000</v>
      </c>
      <c r="M374">
        <v>156622.57999999999</v>
      </c>
      <c r="N374">
        <f t="shared" si="6"/>
        <v>14377.420000000013</v>
      </c>
      <c r="O374" t="s">
        <v>23</v>
      </c>
      <c r="P374" t="s">
        <v>31</v>
      </c>
      <c r="Q374" t="s">
        <v>32</v>
      </c>
    </row>
    <row r="375" spans="1:17" x14ac:dyDescent="0.3">
      <c r="A375" t="s">
        <v>453</v>
      </c>
      <c r="B375" s="1">
        <v>45432</v>
      </c>
      <c r="C375" t="s">
        <v>18</v>
      </c>
      <c r="D375" t="s">
        <v>70</v>
      </c>
      <c r="E375" t="s">
        <v>151</v>
      </c>
      <c r="F375" t="s">
        <v>141</v>
      </c>
      <c r="G375" t="s">
        <v>142</v>
      </c>
      <c r="H375">
        <v>3500</v>
      </c>
      <c r="I375">
        <v>8</v>
      </c>
      <c r="J375">
        <v>5</v>
      </c>
      <c r="K375">
        <v>5</v>
      </c>
      <c r="L375">
        <v>26600</v>
      </c>
      <c r="M375">
        <v>27353.18</v>
      </c>
      <c r="N375">
        <f t="shared" si="6"/>
        <v>-753.18000000000029</v>
      </c>
      <c r="O375" t="s">
        <v>23</v>
      </c>
      <c r="P375" t="s">
        <v>24</v>
      </c>
      <c r="Q375" t="s">
        <v>25</v>
      </c>
    </row>
    <row r="376" spans="1:17" x14ac:dyDescent="0.3">
      <c r="A376" t="s">
        <v>454</v>
      </c>
      <c r="B376" s="1">
        <v>45429</v>
      </c>
      <c r="C376" t="s">
        <v>18</v>
      </c>
      <c r="D376" t="s">
        <v>27</v>
      </c>
      <c r="E376" t="s">
        <v>71</v>
      </c>
      <c r="F376" t="s">
        <v>21</v>
      </c>
      <c r="G376" t="s">
        <v>72</v>
      </c>
      <c r="H376">
        <v>60000</v>
      </c>
      <c r="I376">
        <v>4</v>
      </c>
      <c r="J376">
        <v>5</v>
      </c>
      <c r="K376">
        <v>15</v>
      </c>
      <c r="L376">
        <v>228000</v>
      </c>
      <c r="M376">
        <v>203385.76</v>
      </c>
      <c r="N376">
        <f t="shared" si="6"/>
        <v>24614.239999999991</v>
      </c>
      <c r="O376" t="s">
        <v>38</v>
      </c>
      <c r="P376" t="s">
        <v>31</v>
      </c>
      <c r="Q376" t="s">
        <v>39</v>
      </c>
    </row>
    <row r="377" spans="1:17" x14ac:dyDescent="0.3">
      <c r="A377" t="s">
        <v>455</v>
      </c>
      <c r="B377" s="1">
        <v>45361</v>
      </c>
      <c r="C377" t="s">
        <v>49</v>
      </c>
      <c r="D377" t="s">
        <v>70</v>
      </c>
      <c r="E377" t="s">
        <v>140</v>
      </c>
      <c r="F377" t="s">
        <v>141</v>
      </c>
      <c r="G377" t="s">
        <v>142</v>
      </c>
      <c r="H377">
        <v>12000</v>
      </c>
      <c r="I377">
        <v>13</v>
      </c>
      <c r="J377">
        <v>15</v>
      </c>
      <c r="K377">
        <v>0</v>
      </c>
      <c r="L377">
        <v>132600</v>
      </c>
      <c r="M377">
        <v>118964.43</v>
      </c>
      <c r="N377">
        <f t="shared" si="6"/>
        <v>13635.570000000007</v>
      </c>
      <c r="O377" t="s">
        <v>23</v>
      </c>
      <c r="P377" t="s">
        <v>31</v>
      </c>
      <c r="Q377" t="s">
        <v>32</v>
      </c>
    </row>
    <row r="378" spans="1:17" x14ac:dyDescent="0.3">
      <c r="A378" t="s">
        <v>456</v>
      </c>
      <c r="B378" s="1">
        <v>45314</v>
      </c>
      <c r="C378" t="s">
        <v>34</v>
      </c>
      <c r="D378" t="s">
        <v>27</v>
      </c>
      <c r="E378" t="s">
        <v>36</v>
      </c>
      <c r="F378" t="s">
        <v>29</v>
      </c>
      <c r="G378" t="s">
        <v>37</v>
      </c>
      <c r="H378">
        <v>1200</v>
      </c>
      <c r="I378">
        <v>1</v>
      </c>
      <c r="J378">
        <v>10</v>
      </c>
      <c r="K378">
        <v>0</v>
      </c>
      <c r="L378">
        <v>1080</v>
      </c>
      <c r="M378">
        <v>970.19</v>
      </c>
      <c r="N378">
        <f t="shared" si="6"/>
        <v>109.80999999999995</v>
      </c>
      <c r="O378" t="s">
        <v>23</v>
      </c>
      <c r="P378" t="s">
        <v>31</v>
      </c>
      <c r="Q378" t="s">
        <v>32</v>
      </c>
    </row>
    <row r="379" spans="1:17" x14ac:dyDescent="0.3">
      <c r="A379" t="s">
        <v>457</v>
      </c>
      <c r="B379" s="1">
        <v>45418</v>
      </c>
      <c r="C379" t="s">
        <v>53</v>
      </c>
      <c r="D379" t="s">
        <v>27</v>
      </c>
      <c r="E379" t="s">
        <v>36</v>
      </c>
      <c r="F379" t="s">
        <v>29</v>
      </c>
      <c r="G379" t="s">
        <v>37</v>
      </c>
      <c r="H379">
        <v>1200</v>
      </c>
      <c r="I379">
        <v>6</v>
      </c>
      <c r="J379">
        <v>15</v>
      </c>
      <c r="K379">
        <v>15</v>
      </c>
      <c r="L379">
        <v>6120</v>
      </c>
      <c r="M379">
        <v>5806.57</v>
      </c>
      <c r="N379">
        <f t="shared" si="6"/>
        <v>313.43000000000029</v>
      </c>
      <c r="O379" t="s">
        <v>23</v>
      </c>
      <c r="P379" t="s">
        <v>31</v>
      </c>
      <c r="Q379" t="s">
        <v>32</v>
      </c>
    </row>
    <row r="380" spans="1:17" x14ac:dyDescent="0.3">
      <c r="A380" t="s">
        <v>458</v>
      </c>
      <c r="B380" s="1">
        <v>45427</v>
      </c>
      <c r="C380" t="s">
        <v>53</v>
      </c>
      <c r="D380" t="s">
        <v>19</v>
      </c>
      <c r="E380" t="s">
        <v>102</v>
      </c>
      <c r="F380" t="s">
        <v>29</v>
      </c>
      <c r="G380" t="s">
        <v>43</v>
      </c>
      <c r="H380">
        <v>1500</v>
      </c>
      <c r="I380">
        <v>15</v>
      </c>
      <c r="J380">
        <v>5</v>
      </c>
      <c r="K380">
        <v>5</v>
      </c>
      <c r="L380">
        <v>21375</v>
      </c>
      <c r="M380">
        <v>18778.87</v>
      </c>
      <c r="N380">
        <f t="shared" si="6"/>
        <v>2596.130000000001</v>
      </c>
      <c r="O380" t="s">
        <v>23</v>
      </c>
      <c r="P380" t="s">
        <v>31</v>
      </c>
      <c r="Q380" t="s">
        <v>32</v>
      </c>
    </row>
    <row r="381" spans="1:17" x14ac:dyDescent="0.3">
      <c r="A381" t="s">
        <v>459</v>
      </c>
      <c r="B381" s="1">
        <v>45296</v>
      </c>
      <c r="C381" t="s">
        <v>53</v>
      </c>
      <c r="D381" t="s">
        <v>41</v>
      </c>
      <c r="E381" t="s">
        <v>61</v>
      </c>
      <c r="F381" t="s">
        <v>29</v>
      </c>
      <c r="G381" t="s">
        <v>43</v>
      </c>
      <c r="H381">
        <v>2800</v>
      </c>
      <c r="I381">
        <v>7</v>
      </c>
      <c r="J381">
        <v>15</v>
      </c>
      <c r="K381">
        <v>25</v>
      </c>
      <c r="L381">
        <v>16660</v>
      </c>
      <c r="M381">
        <v>16829.650000000001</v>
      </c>
      <c r="N381">
        <f t="shared" si="6"/>
        <v>-169.65000000000146</v>
      </c>
      <c r="O381" t="s">
        <v>38</v>
      </c>
      <c r="P381" t="s">
        <v>24</v>
      </c>
      <c r="Q381" t="s">
        <v>39</v>
      </c>
    </row>
    <row r="382" spans="1:17" x14ac:dyDescent="0.3">
      <c r="A382" t="s">
        <v>460</v>
      </c>
      <c r="B382" s="1">
        <v>45298</v>
      </c>
      <c r="C382" t="s">
        <v>49</v>
      </c>
      <c r="D382" t="s">
        <v>27</v>
      </c>
      <c r="E382" t="s">
        <v>45</v>
      </c>
      <c r="F382" t="s">
        <v>46</v>
      </c>
      <c r="G382" t="s">
        <v>47</v>
      </c>
      <c r="H382">
        <v>15000</v>
      </c>
      <c r="I382">
        <v>11</v>
      </c>
      <c r="J382">
        <v>15</v>
      </c>
      <c r="K382">
        <v>25</v>
      </c>
      <c r="L382">
        <v>140250</v>
      </c>
      <c r="M382">
        <v>145519.57</v>
      </c>
      <c r="N382">
        <f t="shared" si="6"/>
        <v>-5269.570000000007</v>
      </c>
      <c r="O382" t="s">
        <v>38</v>
      </c>
      <c r="P382" t="s">
        <v>24</v>
      </c>
      <c r="Q382" t="s">
        <v>39</v>
      </c>
    </row>
    <row r="383" spans="1:17" x14ac:dyDescent="0.3">
      <c r="A383" t="s">
        <v>461</v>
      </c>
      <c r="B383" s="1">
        <v>45455</v>
      </c>
      <c r="C383" t="s">
        <v>18</v>
      </c>
      <c r="D383" t="s">
        <v>70</v>
      </c>
      <c r="E383" t="s">
        <v>61</v>
      </c>
      <c r="F383" t="s">
        <v>29</v>
      </c>
      <c r="G383" t="s">
        <v>43</v>
      </c>
      <c r="H383">
        <v>2800</v>
      </c>
      <c r="I383">
        <v>1</v>
      </c>
      <c r="J383">
        <v>5</v>
      </c>
      <c r="K383">
        <v>15</v>
      </c>
      <c r="L383">
        <v>2660</v>
      </c>
      <c r="M383">
        <v>2466.71</v>
      </c>
      <c r="N383">
        <f t="shared" si="6"/>
        <v>193.28999999999996</v>
      </c>
      <c r="O383" t="s">
        <v>38</v>
      </c>
      <c r="P383" t="s">
        <v>31</v>
      </c>
      <c r="Q383" t="s">
        <v>39</v>
      </c>
    </row>
    <row r="384" spans="1:17" x14ac:dyDescent="0.3">
      <c r="A384" t="s">
        <v>462</v>
      </c>
      <c r="B384" s="1">
        <v>45359</v>
      </c>
      <c r="C384" t="s">
        <v>34</v>
      </c>
      <c r="D384" t="s">
        <v>70</v>
      </c>
      <c r="E384" t="s">
        <v>63</v>
      </c>
      <c r="F384" t="s">
        <v>64</v>
      </c>
      <c r="G384" t="s">
        <v>65</v>
      </c>
      <c r="H384">
        <v>4000</v>
      </c>
      <c r="I384">
        <v>4</v>
      </c>
      <c r="J384">
        <v>15</v>
      </c>
      <c r="K384">
        <v>15</v>
      </c>
      <c r="L384">
        <v>13600</v>
      </c>
      <c r="M384">
        <v>12564.92</v>
      </c>
      <c r="N384">
        <f t="shared" si="6"/>
        <v>1035.08</v>
      </c>
      <c r="O384" t="s">
        <v>23</v>
      </c>
      <c r="P384" t="s">
        <v>31</v>
      </c>
      <c r="Q384" t="s">
        <v>32</v>
      </c>
    </row>
    <row r="385" spans="1:17" x14ac:dyDescent="0.3">
      <c r="A385" t="s">
        <v>463</v>
      </c>
      <c r="B385" s="1">
        <v>45408</v>
      </c>
      <c r="C385" t="s">
        <v>53</v>
      </c>
      <c r="D385" t="s">
        <v>19</v>
      </c>
      <c r="E385" t="s">
        <v>57</v>
      </c>
      <c r="F385" t="s">
        <v>46</v>
      </c>
      <c r="G385" t="s">
        <v>58</v>
      </c>
      <c r="H385">
        <v>18000</v>
      </c>
      <c r="I385">
        <v>9</v>
      </c>
      <c r="J385">
        <v>5</v>
      </c>
      <c r="K385">
        <v>25</v>
      </c>
      <c r="L385">
        <v>153900</v>
      </c>
      <c r="M385">
        <v>159223.60999999999</v>
      </c>
      <c r="N385">
        <f t="shared" si="6"/>
        <v>-5323.609999999986</v>
      </c>
      <c r="O385" t="s">
        <v>38</v>
      </c>
      <c r="P385" t="s">
        <v>24</v>
      </c>
      <c r="Q385" t="s">
        <v>39</v>
      </c>
    </row>
    <row r="386" spans="1:17" x14ac:dyDescent="0.3">
      <c r="A386" t="s">
        <v>464</v>
      </c>
      <c r="B386" s="1">
        <v>45362</v>
      </c>
      <c r="C386" t="s">
        <v>18</v>
      </c>
      <c r="D386" t="s">
        <v>27</v>
      </c>
      <c r="E386" t="s">
        <v>45</v>
      </c>
      <c r="F386" t="s">
        <v>46</v>
      </c>
      <c r="G386" t="s">
        <v>47</v>
      </c>
      <c r="H386">
        <v>15000</v>
      </c>
      <c r="I386">
        <v>4</v>
      </c>
      <c r="J386">
        <v>5</v>
      </c>
      <c r="K386">
        <v>0</v>
      </c>
      <c r="L386">
        <v>57000</v>
      </c>
      <c r="M386">
        <v>55088.99</v>
      </c>
      <c r="N386">
        <f t="shared" si="6"/>
        <v>1911.010000000002</v>
      </c>
      <c r="O386" t="s">
        <v>23</v>
      </c>
      <c r="P386" t="s">
        <v>31</v>
      </c>
      <c r="Q386" t="s">
        <v>32</v>
      </c>
    </row>
    <row r="387" spans="1:17" x14ac:dyDescent="0.3">
      <c r="A387" t="s">
        <v>465</v>
      </c>
      <c r="B387" s="1">
        <v>45322</v>
      </c>
      <c r="C387" t="s">
        <v>18</v>
      </c>
      <c r="D387" t="s">
        <v>27</v>
      </c>
      <c r="E387" t="s">
        <v>50</v>
      </c>
      <c r="F387" t="s">
        <v>21</v>
      </c>
      <c r="G387" t="s">
        <v>51</v>
      </c>
      <c r="H387">
        <v>4500</v>
      </c>
      <c r="I387">
        <v>10</v>
      </c>
      <c r="J387">
        <v>5</v>
      </c>
      <c r="K387">
        <v>5</v>
      </c>
      <c r="L387">
        <v>42750</v>
      </c>
      <c r="M387">
        <v>39740.29</v>
      </c>
      <c r="N387">
        <f t="shared" ref="N387:N450" si="7">L387-M387</f>
        <v>3009.7099999999991</v>
      </c>
      <c r="O387" t="s">
        <v>23</v>
      </c>
      <c r="P387" t="s">
        <v>31</v>
      </c>
      <c r="Q387" t="s">
        <v>32</v>
      </c>
    </row>
    <row r="388" spans="1:17" x14ac:dyDescent="0.3">
      <c r="A388" t="s">
        <v>466</v>
      </c>
      <c r="B388" s="1">
        <v>45336</v>
      </c>
      <c r="C388" t="s">
        <v>53</v>
      </c>
      <c r="D388" t="s">
        <v>35</v>
      </c>
      <c r="E388" t="s">
        <v>54</v>
      </c>
      <c r="F388" t="s">
        <v>46</v>
      </c>
      <c r="G388" t="s">
        <v>55</v>
      </c>
      <c r="H388">
        <v>4500</v>
      </c>
      <c r="I388">
        <v>1</v>
      </c>
      <c r="J388">
        <v>10</v>
      </c>
      <c r="K388">
        <v>10</v>
      </c>
      <c r="L388">
        <v>4050</v>
      </c>
      <c r="M388">
        <v>3921.57</v>
      </c>
      <c r="N388">
        <f t="shared" si="7"/>
        <v>128.42999999999984</v>
      </c>
      <c r="O388" t="s">
        <v>23</v>
      </c>
      <c r="P388" t="s">
        <v>31</v>
      </c>
      <c r="Q388" t="s">
        <v>32</v>
      </c>
    </row>
    <row r="389" spans="1:17" x14ac:dyDescent="0.3">
      <c r="A389" t="s">
        <v>467</v>
      </c>
      <c r="B389" s="1">
        <v>45450</v>
      </c>
      <c r="C389" t="s">
        <v>49</v>
      </c>
      <c r="D389" t="s">
        <v>19</v>
      </c>
      <c r="E389" t="s">
        <v>107</v>
      </c>
      <c r="F389" t="s">
        <v>108</v>
      </c>
      <c r="G389" t="s">
        <v>109</v>
      </c>
      <c r="H389">
        <v>18000</v>
      </c>
      <c r="I389">
        <v>15</v>
      </c>
      <c r="J389">
        <v>15</v>
      </c>
      <c r="K389">
        <v>15</v>
      </c>
      <c r="L389">
        <v>229500</v>
      </c>
      <c r="M389">
        <v>217175.06</v>
      </c>
      <c r="N389">
        <f t="shared" si="7"/>
        <v>12324.940000000002</v>
      </c>
      <c r="O389" t="s">
        <v>23</v>
      </c>
      <c r="P389" t="s">
        <v>31</v>
      </c>
      <c r="Q389" t="s">
        <v>32</v>
      </c>
    </row>
    <row r="390" spans="1:17" x14ac:dyDescent="0.3">
      <c r="A390" t="s">
        <v>468</v>
      </c>
      <c r="B390" s="1">
        <v>45398</v>
      </c>
      <c r="C390" t="s">
        <v>34</v>
      </c>
      <c r="D390" t="s">
        <v>27</v>
      </c>
      <c r="E390" t="s">
        <v>90</v>
      </c>
      <c r="F390" t="s">
        <v>29</v>
      </c>
      <c r="G390" t="s">
        <v>37</v>
      </c>
      <c r="H390">
        <v>6500</v>
      </c>
      <c r="I390">
        <v>5</v>
      </c>
      <c r="J390">
        <v>10</v>
      </c>
      <c r="K390">
        <v>20</v>
      </c>
      <c r="L390">
        <v>29250</v>
      </c>
      <c r="M390">
        <v>30454.13</v>
      </c>
      <c r="N390">
        <f t="shared" si="7"/>
        <v>-1204.130000000001</v>
      </c>
      <c r="O390" t="s">
        <v>38</v>
      </c>
      <c r="P390" t="s">
        <v>24</v>
      </c>
      <c r="Q390" t="s">
        <v>39</v>
      </c>
    </row>
    <row r="391" spans="1:17" x14ac:dyDescent="0.3">
      <c r="A391" t="s">
        <v>469</v>
      </c>
      <c r="B391" s="1">
        <v>45356</v>
      </c>
      <c r="C391" t="s">
        <v>34</v>
      </c>
      <c r="D391" t="s">
        <v>19</v>
      </c>
      <c r="E391" t="s">
        <v>67</v>
      </c>
      <c r="F391" t="s">
        <v>29</v>
      </c>
      <c r="G391" t="s">
        <v>68</v>
      </c>
      <c r="H391">
        <v>1200</v>
      </c>
      <c r="I391">
        <v>4</v>
      </c>
      <c r="J391">
        <v>15</v>
      </c>
      <c r="K391">
        <v>15</v>
      </c>
      <c r="L391">
        <v>4080</v>
      </c>
      <c r="M391">
        <v>3876.13</v>
      </c>
      <c r="N391">
        <f t="shared" si="7"/>
        <v>203.86999999999989</v>
      </c>
      <c r="O391" t="s">
        <v>23</v>
      </c>
      <c r="P391" t="s">
        <v>31</v>
      </c>
      <c r="Q391" t="s">
        <v>32</v>
      </c>
    </row>
    <row r="392" spans="1:17" x14ac:dyDescent="0.3">
      <c r="A392" t="s">
        <v>470</v>
      </c>
      <c r="B392" s="1">
        <v>45351</v>
      </c>
      <c r="C392" t="s">
        <v>49</v>
      </c>
      <c r="D392" t="s">
        <v>27</v>
      </c>
      <c r="E392" t="s">
        <v>155</v>
      </c>
      <c r="F392" t="s">
        <v>21</v>
      </c>
      <c r="G392" t="s">
        <v>72</v>
      </c>
      <c r="H392">
        <v>35000</v>
      </c>
      <c r="I392">
        <v>12</v>
      </c>
      <c r="J392">
        <v>10</v>
      </c>
      <c r="K392">
        <v>15</v>
      </c>
      <c r="L392">
        <v>378000</v>
      </c>
      <c r="M392">
        <v>379333.82</v>
      </c>
      <c r="N392">
        <f t="shared" si="7"/>
        <v>-1333.820000000007</v>
      </c>
      <c r="O392" t="s">
        <v>38</v>
      </c>
      <c r="P392" t="s">
        <v>24</v>
      </c>
      <c r="Q392" t="s">
        <v>39</v>
      </c>
    </row>
    <row r="393" spans="1:17" x14ac:dyDescent="0.3">
      <c r="A393" t="s">
        <v>471</v>
      </c>
      <c r="B393" s="1">
        <v>45367</v>
      </c>
      <c r="C393" t="s">
        <v>34</v>
      </c>
      <c r="D393" t="s">
        <v>27</v>
      </c>
      <c r="E393" t="s">
        <v>54</v>
      </c>
      <c r="F393" t="s">
        <v>46</v>
      </c>
      <c r="G393" t="s">
        <v>55</v>
      </c>
      <c r="H393">
        <v>4500</v>
      </c>
      <c r="I393">
        <v>11</v>
      </c>
      <c r="J393">
        <v>10</v>
      </c>
      <c r="K393">
        <v>20</v>
      </c>
      <c r="L393">
        <v>44550</v>
      </c>
      <c r="M393">
        <v>45610.98</v>
      </c>
      <c r="N393">
        <f t="shared" si="7"/>
        <v>-1060.9800000000032</v>
      </c>
      <c r="O393" t="s">
        <v>38</v>
      </c>
      <c r="P393" t="s">
        <v>24</v>
      </c>
      <c r="Q393" t="s">
        <v>39</v>
      </c>
    </row>
    <row r="394" spans="1:17" x14ac:dyDescent="0.3">
      <c r="A394" t="s">
        <v>472</v>
      </c>
      <c r="B394" s="1">
        <v>45309</v>
      </c>
      <c r="C394" t="s">
        <v>34</v>
      </c>
      <c r="D394" t="s">
        <v>41</v>
      </c>
      <c r="E394" t="s">
        <v>57</v>
      </c>
      <c r="F394" t="s">
        <v>46</v>
      </c>
      <c r="G394" t="s">
        <v>58</v>
      </c>
      <c r="H394">
        <v>18000</v>
      </c>
      <c r="I394">
        <v>9</v>
      </c>
      <c r="J394">
        <v>10</v>
      </c>
      <c r="K394">
        <v>15</v>
      </c>
      <c r="L394">
        <v>145800</v>
      </c>
      <c r="M394">
        <v>125948.53</v>
      </c>
      <c r="N394">
        <f t="shared" si="7"/>
        <v>19851.47</v>
      </c>
      <c r="O394" t="s">
        <v>38</v>
      </c>
      <c r="P394" t="s">
        <v>31</v>
      </c>
      <c r="Q394" t="s">
        <v>39</v>
      </c>
    </row>
    <row r="395" spans="1:17" x14ac:dyDescent="0.3">
      <c r="A395" t="s">
        <v>473</v>
      </c>
      <c r="B395" s="1">
        <v>45428</v>
      </c>
      <c r="C395" t="s">
        <v>34</v>
      </c>
      <c r="D395" t="s">
        <v>35</v>
      </c>
      <c r="E395" t="s">
        <v>28</v>
      </c>
      <c r="F395" t="s">
        <v>29</v>
      </c>
      <c r="G395" t="s">
        <v>30</v>
      </c>
      <c r="H395">
        <v>1800</v>
      </c>
      <c r="I395">
        <v>11</v>
      </c>
      <c r="J395">
        <v>15</v>
      </c>
      <c r="K395">
        <v>20</v>
      </c>
      <c r="L395">
        <v>16830</v>
      </c>
      <c r="M395">
        <v>16483.939999999999</v>
      </c>
      <c r="N395">
        <f t="shared" si="7"/>
        <v>346.06000000000131</v>
      </c>
      <c r="O395" t="s">
        <v>38</v>
      </c>
      <c r="P395" t="s">
        <v>31</v>
      </c>
      <c r="Q395" t="s">
        <v>39</v>
      </c>
    </row>
    <row r="396" spans="1:17" x14ac:dyDescent="0.3">
      <c r="A396" t="s">
        <v>474</v>
      </c>
      <c r="B396" s="1">
        <v>45409</v>
      </c>
      <c r="C396" t="s">
        <v>18</v>
      </c>
      <c r="D396" t="s">
        <v>41</v>
      </c>
      <c r="E396" t="s">
        <v>28</v>
      </c>
      <c r="F396" t="s">
        <v>29</v>
      </c>
      <c r="G396" t="s">
        <v>30</v>
      </c>
      <c r="H396">
        <v>1800</v>
      </c>
      <c r="I396">
        <v>3</v>
      </c>
      <c r="J396">
        <v>10</v>
      </c>
      <c r="K396">
        <v>20</v>
      </c>
      <c r="L396">
        <v>4860</v>
      </c>
      <c r="M396">
        <v>4226.04</v>
      </c>
      <c r="N396">
        <f t="shared" si="7"/>
        <v>633.96</v>
      </c>
      <c r="O396" t="s">
        <v>38</v>
      </c>
      <c r="P396" t="s">
        <v>31</v>
      </c>
      <c r="Q396" t="s">
        <v>39</v>
      </c>
    </row>
    <row r="397" spans="1:17" x14ac:dyDescent="0.3">
      <c r="A397" t="s">
        <v>475</v>
      </c>
      <c r="B397" s="1">
        <v>45415</v>
      </c>
      <c r="C397" t="s">
        <v>53</v>
      </c>
      <c r="D397" t="s">
        <v>19</v>
      </c>
      <c r="E397" t="s">
        <v>45</v>
      </c>
      <c r="F397" t="s">
        <v>46</v>
      </c>
      <c r="G397" t="s">
        <v>47</v>
      </c>
      <c r="H397">
        <v>15000</v>
      </c>
      <c r="I397">
        <v>2</v>
      </c>
      <c r="J397">
        <v>15</v>
      </c>
      <c r="K397">
        <v>10</v>
      </c>
      <c r="L397">
        <v>25500</v>
      </c>
      <c r="M397">
        <v>21691.599999999999</v>
      </c>
      <c r="N397">
        <f t="shared" si="7"/>
        <v>3808.4000000000015</v>
      </c>
      <c r="O397" t="s">
        <v>23</v>
      </c>
      <c r="P397" t="s">
        <v>31</v>
      </c>
      <c r="Q397" t="s">
        <v>32</v>
      </c>
    </row>
    <row r="398" spans="1:17" x14ac:dyDescent="0.3">
      <c r="A398" t="s">
        <v>476</v>
      </c>
      <c r="B398" s="1">
        <v>45333</v>
      </c>
      <c r="C398" t="s">
        <v>49</v>
      </c>
      <c r="D398" t="s">
        <v>35</v>
      </c>
      <c r="E398" t="s">
        <v>107</v>
      </c>
      <c r="F398" t="s">
        <v>108</v>
      </c>
      <c r="G398" t="s">
        <v>109</v>
      </c>
      <c r="H398">
        <v>18000</v>
      </c>
      <c r="I398">
        <v>6</v>
      </c>
      <c r="J398">
        <v>5</v>
      </c>
      <c r="K398">
        <v>15</v>
      </c>
      <c r="L398">
        <v>102600</v>
      </c>
      <c r="M398">
        <v>97152.49</v>
      </c>
      <c r="N398">
        <f t="shared" si="7"/>
        <v>5447.5099999999948</v>
      </c>
      <c r="O398" t="s">
        <v>38</v>
      </c>
      <c r="P398" t="s">
        <v>31</v>
      </c>
      <c r="Q398" t="s">
        <v>39</v>
      </c>
    </row>
    <row r="399" spans="1:17" x14ac:dyDescent="0.3">
      <c r="A399" t="s">
        <v>477</v>
      </c>
      <c r="B399" s="1">
        <v>45460</v>
      </c>
      <c r="C399" t="s">
        <v>49</v>
      </c>
      <c r="D399" t="s">
        <v>41</v>
      </c>
      <c r="E399" t="s">
        <v>100</v>
      </c>
      <c r="F399" t="s">
        <v>46</v>
      </c>
      <c r="G399" t="s">
        <v>55</v>
      </c>
      <c r="H399">
        <v>2500</v>
      </c>
      <c r="I399">
        <v>14</v>
      </c>
      <c r="J399">
        <v>15</v>
      </c>
      <c r="K399">
        <v>5</v>
      </c>
      <c r="L399">
        <v>29750</v>
      </c>
      <c r="M399">
        <v>26883.15</v>
      </c>
      <c r="N399">
        <f t="shared" si="7"/>
        <v>2866.8499999999985</v>
      </c>
      <c r="O399" t="s">
        <v>23</v>
      </c>
      <c r="P399" t="s">
        <v>31</v>
      </c>
      <c r="Q399" t="s">
        <v>32</v>
      </c>
    </row>
    <row r="400" spans="1:17" x14ac:dyDescent="0.3">
      <c r="A400" t="s">
        <v>478</v>
      </c>
      <c r="B400" s="1">
        <v>45391</v>
      </c>
      <c r="C400" t="s">
        <v>18</v>
      </c>
      <c r="D400" t="s">
        <v>35</v>
      </c>
      <c r="E400" t="s">
        <v>81</v>
      </c>
      <c r="F400" t="s">
        <v>21</v>
      </c>
      <c r="G400" t="s">
        <v>82</v>
      </c>
      <c r="H400">
        <v>8000</v>
      </c>
      <c r="I400">
        <v>15</v>
      </c>
      <c r="J400">
        <v>10</v>
      </c>
      <c r="K400">
        <v>10</v>
      </c>
      <c r="L400">
        <v>108000</v>
      </c>
      <c r="M400">
        <v>95533.49</v>
      </c>
      <c r="N400">
        <f t="shared" si="7"/>
        <v>12466.509999999995</v>
      </c>
      <c r="O400" t="s">
        <v>23</v>
      </c>
      <c r="P400" t="s">
        <v>31</v>
      </c>
      <c r="Q400" t="s">
        <v>32</v>
      </c>
    </row>
    <row r="401" spans="1:17" x14ac:dyDescent="0.3">
      <c r="A401" t="s">
        <v>479</v>
      </c>
      <c r="B401" s="1">
        <v>45461</v>
      </c>
      <c r="C401" t="s">
        <v>53</v>
      </c>
      <c r="D401" t="s">
        <v>41</v>
      </c>
      <c r="E401" t="s">
        <v>54</v>
      </c>
      <c r="F401" t="s">
        <v>46</v>
      </c>
      <c r="G401" t="s">
        <v>55</v>
      </c>
      <c r="H401">
        <v>4500</v>
      </c>
      <c r="I401">
        <v>14</v>
      </c>
      <c r="J401">
        <v>5</v>
      </c>
      <c r="K401">
        <v>20</v>
      </c>
      <c r="L401">
        <v>59850</v>
      </c>
      <c r="M401">
        <v>59088.17</v>
      </c>
      <c r="N401">
        <f t="shared" si="7"/>
        <v>761.83000000000175</v>
      </c>
      <c r="O401" t="s">
        <v>38</v>
      </c>
      <c r="P401" t="s">
        <v>31</v>
      </c>
      <c r="Q401" t="s">
        <v>39</v>
      </c>
    </row>
    <row r="402" spans="1:17" x14ac:dyDescent="0.3">
      <c r="A402" t="s">
        <v>480</v>
      </c>
      <c r="B402" s="1">
        <v>45374</v>
      </c>
      <c r="C402" t="s">
        <v>53</v>
      </c>
      <c r="D402" t="s">
        <v>92</v>
      </c>
      <c r="E402" t="s">
        <v>167</v>
      </c>
      <c r="F402" t="s">
        <v>21</v>
      </c>
      <c r="G402" t="s">
        <v>82</v>
      </c>
      <c r="H402">
        <v>7000</v>
      </c>
      <c r="I402">
        <v>5</v>
      </c>
      <c r="J402">
        <v>15</v>
      </c>
      <c r="K402">
        <v>25</v>
      </c>
      <c r="L402">
        <v>29750</v>
      </c>
      <c r="M402">
        <v>28337.919999999998</v>
      </c>
      <c r="N402">
        <f t="shared" si="7"/>
        <v>1412.0800000000017</v>
      </c>
      <c r="O402" t="s">
        <v>38</v>
      </c>
      <c r="P402" t="s">
        <v>31</v>
      </c>
      <c r="Q402" t="s">
        <v>39</v>
      </c>
    </row>
    <row r="403" spans="1:17" x14ac:dyDescent="0.3">
      <c r="A403" t="s">
        <v>481</v>
      </c>
      <c r="B403" s="1">
        <v>45448</v>
      </c>
      <c r="C403" t="s">
        <v>53</v>
      </c>
      <c r="D403" t="s">
        <v>41</v>
      </c>
      <c r="E403" t="s">
        <v>100</v>
      </c>
      <c r="F403" t="s">
        <v>46</v>
      </c>
      <c r="G403" t="s">
        <v>55</v>
      </c>
      <c r="H403">
        <v>2500</v>
      </c>
      <c r="I403">
        <v>7</v>
      </c>
      <c r="J403">
        <v>5</v>
      </c>
      <c r="K403">
        <v>25</v>
      </c>
      <c r="L403">
        <v>16625</v>
      </c>
      <c r="M403">
        <v>15826.83</v>
      </c>
      <c r="N403">
        <f t="shared" si="7"/>
        <v>798.17000000000007</v>
      </c>
      <c r="O403" t="s">
        <v>38</v>
      </c>
      <c r="P403" t="s">
        <v>31</v>
      </c>
      <c r="Q403" t="s">
        <v>39</v>
      </c>
    </row>
    <row r="404" spans="1:17" x14ac:dyDescent="0.3">
      <c r="A404" t="s">
        <v>482</v>
      </c>
      <c r="B404" s="1">
        <v>45447</v>
      </c>
      <c r="C404" t="s">
        <v>49</v>
      </c>
      <c r="D404" t="s">
        <v>41</v>
      </c>
      <c r="E404" t="s">
        <v>167</v>
      </c>
      <c r="F404" t="s">
        <v>21</v>
      </c>
      <c r="G404" t="s">
        <v>82</v>
      </c>
      <c r="H404">
        <v>7000</v>
      </c>
      <c r="I404">
        <v>1</v>
      </c>
      <c r="J404">
        <v>10</v>
      </c>
      <c r="K404">
        <v>5</v>
      </c>
      <c r="L404">
        <v>6300</v>
      </c>
      <c r="M404">
        <v>5724.64</v>
      </c>
      <c r="N404">
        <f t="shared" si="7"/>
        <v>575.35999999999967</v>
      </c>
      <c r="O404" t="s">
        <v>23</v>
      </c>
      <c r="P404" t="s">
        <v>31</v>
      </c>
      <c r="Q404" t="s">
        <v>32</v>
      </c>
    </row>
    <row r="405" spans="1:17" x14ac:dyDescent="0.3">
      <c r="A405" t="s">
        <v>483</v>
      </c>
      <c r="B405" s="1">
        <v>45373</v>
      </c>
      <c r="C405" t="s">
        <v>34</v>
      </c>
      <c r="D405" t="s">
        <v>92</v>
      </c>
      <c r="E405" t="s">
        <v>81</v>
      </c>
      <c r="F405" t="s">
        <v>21</v>
      </c>
      <c r="G405" t="s">
        <v>82</v>
      </c>
      <c r="H405">
        <v>8000</v>
      </c>
      <c r="I405">
        <v>11</v>
      </c>
      <c r="J405">
        <v>15</v>
      </c>
      <c r="K405">
        <v>20</v>
      </c>
      <c r="L405">
        <v>74800</v>
      </c>
      <c r="M405">
        <v>73000.27</v>
      </c>
      <c r="N405">
        <f t="shared" si="7"/>
        <v>1799.7299999999959</v>
      </c>
      <c r="O405" t="s">
        <v>38</v>
      </c>
      <c r="P405" t="s">
        <v>31</v>
      </c>
      <c r="Q405" t="s">
        <v>39</v>
      </c>
    </row>
    <row r="406" spans="1:17" x14ac:dyDescent="0.3">
      <c r="A406" t="s">
        <v>484</v>
      </c>
      <c r="B406" s="1">
        <v>45390</v>
      </c>
      <c r="C406" t="s">
        <v>53</v>
      </c>
      <c r="D406" t="s">
        <v>35</v>
      </c>
      <c r="E406" t="s">
        <v>167</v>
      </c>
      <c r="F406" t="s">
        <v>21</v>
      </c>
      <c r="G406" t="s">
        <v>82</v>
      </c>
      <c r="H406">
        <v>7000</v>
      </c>
      <c r="I406">
        <v>7</v>
      </c>
      <c r="J406">
        <v>15</v>
      </c>
      <c r="K406">
        <v>15</v>
      </c>
      <c r="L406">
        <v>41650</v>
      </c>
      <c r="M406">
        <v>43264.49</v>
      </c>
      <c r="N406">
        <f t="shared" si="7"/>
        <v>-1614.489999999998</v>
      </c>
      <c r="O406" t="s">
        <v>23</v>
      </c>
      <c r="P406" t="s">
        <v>24</v>
      </c>
      <c r="Q406" t="s">
        <v>25</v>
      </c>
    </row>
    <row r="407" spans="1:17" x14ac:dyDescent="0.3">
      <c r="A407" t="s">
        <v>485</v>
      </c>
      <c r="B407" s="1">
        <v>45312</v>
      </c>
      <c r="C407" t="s">
        <v>34</v>
      </c>
      <c r="D407" t="s">
        <v>35</v>
      </c>
      <c r="E407" t="s">
        <v>155</v>
      </c>
      <c r="F407" t="s">
        <v>21</v>
      </c>
      <c r="G407" t="s">
        <v>72</v>
      </c>
      <c r="H407">
        <v>35000</v>
      </c>
      <c r="I407">
        <v>1</v>
      </c>
      <c r="J407">
        <v>15</v>
      </c>
      <c r="K407">
        <v>0</v>
      </c>
      <c r="L407">
        <v>29750</v>
      </c>
      <c r="M407">
        <v>29834.99</v>
      </c>
      <c r="N407">
        <f t="shared" si="7"/>
        <v>-84.990000000001601</v>
      </c>
      <c r="O407" t="s">
        <v>23</v>
      </c>
      <c r="P407" t="s">
        <v>24</v>
      </c>
      <c r="Q407" t="s">
        <v>25</v>
      </c>
    </row>
    <row r="408" spans="1:17" x14ac:dyDescent="0.3">
      <c r="A408" t="s">
        <v>486</v>
      </c>
      <c r="B408" s="1">
        <v>45465</v>
      </c>
      <c r="C408" t="s">
        <v>18</v>
      </c>
      <c r="D408" t="s">
        <v>92</v>
      </c>
      <c r="E408" t="s">
        <v>36</v>
      </c>
      <c r="F408" t="s">
        <v>29</v>
      </c>
      <c r="G408" t="s">
        <v>37</v>
      </c>
      <c r="H408">
        <v>1200</v>
      </c>
      <c r="I408">
        <v>12</v>
      </c>
      <c r="J408">
        <v>5</v>
      </c>
      <c r="K408">
        <v>5</v>
      </c>
      <c r="L408">
        <v>13680</v>
      </c>
      <c r="M408">
        <v>11649.98</v>
      </c>
      <c r="N408">
        <f t="shared" si="7"/>
        <v>2030.0200000000004</v>
      </c>
      <c r="O408" t="s">
        <v>23</v>
      </c>
      <c r="P408" t="s">
        <v>31</v>
      </c>
      <c r="Q408" t="s">
        <v>32</v>
      </c>
    </row>
    <row r="409" spans="1:17" x14ac:dyDescent="0.3">
      <c r="A409" t="s">
        <v>487</v>
      </c>
      <c r="B409" s="1">
        <v>45362</v>
      </c>
      <c r="C409" t="s">
        <v>34</v>
      </c>
      <c r="D409" t="s">
        <v>41</v>
      </c>
      <c r="E409" t="s">
        <v>129</v>
      </c>
      <c r="F409" t="s">
        <v>21</v>
      </c>
      <c r="G409" t="s">
        <v>82</v>
      </c>
      <c r="H409">
        <v>3500</v>
      </c>
      <c r="I409">
        <v>1</v>
      </c>
      <c r="J409">
        <v>10</v>
      </c>
      <c r="K409">
        <v>25</v>
      </c>
      <c r="L409">
        <v>3150</v>
      </c>
      <c r="M409">
        <v>3216.51</v>
      </c>
      <c r="N409">
        <f t="shared" si="7"/>
        <v>-66.510000000000218</v>
      </c>
      <c r="O409" t="s">
        <v>38</v>
      </c>
      <c r="P409" t="s">
        <v>24</v>
      </c>
      <c r="Q409" t="s">
        <v>39</v>
      </c>
    </row>
    <row r="410" spans="1:17" x14ac:dyDescent="0.3">
      <c r="A410" t="s">
        <v>488</v>
      </c>
      <c r="B410" s="1">
        <v>45412</v>
      </c>
      <c r="C410" t="s">
        <v>53</v>
      </c>
      <c r="D410" t="s">
        <v>27</v>
      </c>
      <c r="E410" t="s">
        <v>102</v>
      </c>
      <c r="F410" t="s">
        <v>29</v>
      </c>
      <c r="G410" t="s">
        <v>43</v>
      </c>
      <c r="H410">
        <v>1500</v>
      </c>
      <c r="I410">
        <v>15</v>
      </c>
      <c r="J410">
        <v>5</v>
      </c>
      <c r="K410">
        <v>15</v>
      </c>
      <c r="L410">
        <v>21375</v>
      </c>
      <c r="M410">
        <v>21802.720000000001</v>
      </c>
      <c r="N410">
        <f t="shared" si="7"/>
        <v>-427.72000000000116</v>
      </c>
      <c r="O410" t="s">
        <v>38</v>
      </c>
      <c r="P410" t="s">
        <v>24</v>
      </c>
      <c r="Q410" t="s">
        <v>39</v>
      </c>
    </row>
    <row r="411" spans="1:17" x14ac:dyDescent="0.3">
      <c r="A411" t="s">
        <v>489</v>
      </c>
      <c r="B411" s="1">
        <v>45354</v>
      </c>
      <c r="C411" t="s">
        <v>53</v>
      </c>
      <c r="D411" t="s">
        <v>27</v>
      </c>
      <c r="E411" t="s">
        <v>28</v>
      </c>
      <c r="F411" t="s">
        <v>29</v>
      </c>
      <c r="G411" t="s">
        <v>30</v>
      </c>
      <c r="H411">
        <v>1800</v>
      </c>
      <c r="I411">
        <v>1</v>
      </c>
      <c r="J411">
        <v>15</v>
      </c>
      <c r="K411">
        <v>20</v>
      </c>
      <c r="L411">
        <v>1530</v>
      </c>
      <c r="M411">
        <v>1603.02</v>
      </c>
      <c r="N411">
        <f t="shared" si="7"/>
        <v>-73.019999999999982</v>
      </c>
      <c r="O411" t="s">
        <v>38</v>
      </c>
      <c r="P411" t="s">
        <v>24</v>
      </c>
      <c r="Q411" t="s">
        <v>39</v>
      </c>
    </row>
    <row r="412" spans="1:17" x14ac:dyDescent="0.3">
      <c r="A412" t="s">
        <v>490</v>
      </c>
      <c r="B412" s="1">
        <v>45404</v>
      </c>
      <c r="C412" t="s">
        <v>18</v>
      </c>
      <c r="D412" t="s">
        <v>70</v>
      </c>
      <c r="E412" t="s">
        <v>102</v>
      </c>
      <c r="F412" t="s">
        <v>29</v>
      </c>
      <c r="G412" t="s">
        <v>43</v>
      </c>
      <c r="H412">
        <v>1500</v>
      </c>
      <c r="I412">
        <v>11</v>
      </c>
      <c r="J412">
        <v>15</v>
      </c>
      <c r="K412">
        <v>10</v>
      </c>
      <c r="L412">
        <v>14025</v>
      </c>
      <c r="M412">
        <v>13770.84</v>
      </c>
      <c r="N412">
        <f t="shared" si="7"/>
        <v>254.15999999999985</v>
      </c>
      <c r="O412" t="s">
        <v>23</v>
      </c>
      <c r="P412" t="s">
        <v>31</v>
      </c>
      <c r="Q412" t="s">
        <v>32</v>
      </c>
    </row>
    <row r="413" spans="1:17" x14ac:dyDescent="0.3">
      <c r="A413" t="s">
        <v>491</v>
      </c>
      <c r="B413" s="1">
        <v>45443</v>
      </c>
      <c r="C413" t="s">
        <v>18</v>
      </c>
      <c r="D413" t="s">
        <v>92</v>
      </c>
      <c r="E413" t="s">
        <v>102</v>
      </c>
      <c r="F413" t="s">
        <v>29</v>
      </c>
      <c r="G413" t="s">
        <v>43</v>
      </c>
      <c r="H413">
        <v>1500</v>
      </c>
      <c r="I413">
        <v>3</v>
      </c>
      <c r="J413">
        <v>15</v>
      </c>
      <c r="K413">
        <v>25</v>
      </c>
      <c r="L413">
        <v>3825</v>
      </c>
      <c r="M413">
        <v>3781.58</v>
      </c>
      <c r="N413">
        <f t="shared" si="7"/>
        <v>43.420000000000073</v>
      </c>
      <c r="O413" t="s">
        <v>38</v>
      </c>
      <c r="P413" t="s">
        <v>31</v>
      </c>
      <c r="Q413" t="s">
        <v>39</v>
      </c>
    </row>
    <row r="414" spans="1:17" x14ac:dyDescent="0.3">
      <c r="A414" t="s">
        <v>492</v>
      </c>
      <c r="B414" s="1">
        <v>45317</v>
      </c>
      <c r="C414" t="s">
        <v>53</v>
      </c>
      <c r="D414" t="s">
        <v>41</v>
      </c>
      <c r="E414" t="s">
        <v>151</v>
      </c>
      <c r="F414" t="s">
        <v>141</v>
      </c>
      <c r="G414" t="s">
        <v>142</v>
      </c>
      <c r="H414">
        <v>3500</v>
      </c>
      <c r="I414">
        <v>12</v>
      </c>
      <c r="J414">
        <v>5</v>
      </c>
      <c r="K414">
        <v>0</v>
      </c>
      <c r="L414">
        <v>39900</v>
      </c>
      <c r="M414">
        <v>38137.629999999997</v>
      </c>
      <c r="N414">
        <f t="shared" si="7"/>
        <v>1762.3700000000026</v>
      </c>
      <c r="O414" t="s">
        <v>23</v>
      </c>
      <c r="P414" t="s">
        <v>31</v>
      </c>
      <c r="Q414" t="s">
        <v>32</v>
      </c>
    </row>
    <row r="415" spans="1:17" x14ac:dyDescent="0.3">
      <c r="A415" t="s">
        <v>493</v>
      </c>
      <c r="B415" s="1">
        <v>45398</v>
      </c>
      <c r="C415" t="s">
        <v>34</v>
      </c>
      <c r="D415" t="s">
        <v>41</v>
      </c>
      <c r="E415" t="s">
        <v>104</v>
      </c>
      <c r="F415" t="s">
        <v>29</v>
      </c>
      <c r="G415" t="s">
        <v>30</v>
      </c>
      <c r="H415">
        <v>1200</v>
      </c>
      <c r="I415">
        <v>13</v>
      </c>
      <c r="J415">
        <v>5</v>
      </c>
      <c r="K415">
        <v>0</v>
      </c>
      <c r="L415">
        <v>14820</v>
      </c>
      <c r="M415">
        <v>14118.55</v>
      </c>
      <c r="N415">
        <f t="shared" si="7"/>
        <v>701.45000000000073</v>
      </c>
      <c r="O415" t="s">
        <v>23</v>
      </c>
      <c r="P415" t="s">
        <v>31</v>
      </c>
      <c r="Q415" t="s">
        <v>32</v>
      </c>
    </row>
    <row r="416" spans="1:17" x14ac:dyDescent="0.3">
      <c r="A416" t="s">
        <v>494</v>
      </c>
      <c r="B416" s="1">
        <v>45405</v>
      </c>
      <c r="C416" t="s">
        <v>53</v>
      </c>
      <c r="D416" t="s">
        <v>92</v>
      </c>
      <c r="E416" t="s">
        <v>104</v>
      </c>
      <c r="F416" t="s">
        <v>29</v>
      </c>
      <c r="G416" t="s">
        <v>30</v>
      </c>
      <c r="H416">
        <v>1200</v>
      </c>
      <c r="I416">
        <v>6</v>
      </c>
      <c r="J416">
        <v>10</v>
      </c>
      <c r="K416">
        <v>15</v>
      </c>
      <c r="L416">
        <v>6480</v>
      </c>
      <c r="M416">
        <v>5539.2</v>
      </c>
      <c r="N416">
        <f t="shared" si="7"/>
        <v>940.80000000000018</v>
      </c>
      <c r="O416" t="s">
        <v>38</v>
      </c>
      <c r="P416" t="s">
        <v>31</v>
      </c>
      <c r="Q416" t="s">
        <v>39</v>
      </c>
    </row>
    <row r="417" spans="1:17" x14ac:dyDescent="0.3">
      <c r="A417" t="s">
        <v>495</v>
      </c>
      <c r="B417" s="1">
        <v>45428</v>
      </c>
      <c r="C417" t="s">
        <v>18</v>
      </c>
      <c r="D417" t="s">
        <v>27</v>
      </c>
      <c r="E417" t="s">
        <v>155</v>
      </c>
      <c r="F417" t="s">
        <v>21</v>
      </c>
      <c r="G417" t="s">
        <v>72</v>
      </c>
      <c r="H417">
        <v>35000</v>
      </c>
      <c r="I417">
        <v>4</v>
      </c>
      <c r="J417">
        <v>5</v>
      </c>
      <c r="K417">
        <v>15</v>
      </c>
      <c r="L417">
        <v>133000</v>
      </c>
      <c r="M417">
        <v>139523.07999999999</v>
      </c>
      <c r="N417">
        <f t="shared" si="7"/>
        <v>-6523.0799999999872</v>
      </c>
      <c r="O417" t="s">
        <v>38</v>
      </c>
      <c r="P417" t="s">
        <v>24</v>
      </c>
      <c r="Q417" t="s">
        <v>39</v>
      </c>
    </row>
    <row r="418" spans="1:17" x14ac:dyDescent="0.3">
      <c r="A418" t="s">
        <v>496</v>
      </c>
      <c r="B418" s="1">
        <v>45376</v>
      </c>
      <c r="C418" t="s">
        <v>18</v>
      </c>
      <c r="D418" t="s">
        <v>41</v>
      </c>
      <c r="E418" t="s">
        <v>107</v>
      </c>
      <c r="F418" t="s">
        <v>108</v>
      </c>
      <c r="G418" t="s">
        <v>109</v>
      </c>
      <c r="H418">
        <v>18000</v>
      </c>
      <c r="I418">
        <v>5</v>
      </c>
      <c r="J418">
        <v>10</v>
      </c>
      <c r="K418">
        <v>0</v>
      </c>
      <c r="L418">
        <v>81000</v>
      </c>
      <c r="M418">
        <v>78447.41</v>
      </c>
      <c r="N418">
        <f t="shared" si="7"/>
        <v>2552.5899999999965</v>
      </c>
      <c r="O418" t="s">
        <v>23</v>
      </c>
      <c r="P418" t="s">
        <v>31</v>
      </c>
      <c r="Q418" t="s">
        <v>32</v>
      </c>
    </row>
    <row r="419" spans="1:17" x14ac:dyDescent="0.3">
      <c r="A419" t="s">
        <v>497</v>
      </c>
      <c r="B419" s="1">
        <v>45312</v>
      </c>
      <c r="C419" t="s">
        <v>49</v>
      </c>
      <c r="D419" t="s">
        <v>70</v>
      </c>
      <c r="E419" t="s">
        <v>81</v>
      </c>
      <c r="F419" t="s">
        <v>21</v>
      </c>
      <c r="G419" t="s">
        <v>82</v>
      </c>
      <c r="H419">
        <v>8000</v>
      </c>
      <c r="I419">
        <v>13</v>
      </c>
      <c r="J419">
        <v>10</v>
      </c>
      <c r="K419">
        <v>10</v>
      </c>
      <c r="L419">
        <v>93600</v>
      </c>
      <c r="M419">
        <v>86661.14</v>
      </c>
      <c r="N419">
        <f t="shared" si="7"/>
        <v>6938.8600000000006</v>
      </c>
      <c r="O419" t="s">
        <v>23</v>
      </c>
      <c r="P419" t="s">
        <v>31</v>
      </c>
      <c r="Q419" t="s">
        <v>32</v>
      </c>
    </row>
    <row r="420" spans="1:17" x14ac:dyDescent="0.3">
      <c r="A420" t="s">
        <v>498</v>
      </c>
      <c r="B420" s="1">
        <v>45344</v>
      </c>
      <c r="C420" t="s">
        <v>18</v>
      </c>
      <c r="D420" t="s">
        <v>70</v>
      </c>
      <c r="E420" t="s">
        <v>102</v>
      </c>
      <c r="F420" t="s">
        <v>29</v>
      </c>
      <c r="G420" t="s">
        <v>43</v>
      </c>
      <c r="H420">
        <v>1500</v>
      </c>
      <c r="I420">
        <v>13</v>
      </c>
      <c r="J420">
        <v>5</v>
      </c>
      <c r="K420">
        <v>20</v>
      </c>
      <c r="L420">
        <v>18525</v>
      </c>
      <c r="M420">
        <v>18946.46</v>
      </c>
      <c r="N420">
        <f t="shared" si="7"/>
        <v>-421.45999999999913</v>
      </c>
      <c r="O420" t="s">
        <v>38</v>
      </c>
      <c r="P420" t="s">
        <v>24</v>
      </c>
      <c r="Q420" t="s">
        <v>39</v>
      </c>
    </row>
    <row r="421" spans="1:17" x14ac:dyDescent="0.3">
      <c r="A421" t="s">
        <v>499</v>
      </c>
      <c r="B421" s="1">
        <v>45315</v>
      </c>
      <c r="C421" t="s">
        <v>49</v>
      </c>
      <c r="D421" t="s">
        <v>35</v>
      </c>
      <c r="E421" t="s">
        <v>67</v>
      </c>
      <c r="F421" t="s">
        <v>29</v>
      </c>
      <c r="G421" t="s">
        <v>68</v>
      </c>
      <c r="H421">
        <v>1200</v>
      </c>
      <c r="I421">
        <v>6</v>
      </c>
      <c r="J421">
        <v>15</v>
      </c>
      <c r="K421">
        <v>25</v>
      </c>
      <c r="L421">
        <v>6120</v>
      </c>
      <c r="M421">
        <v>6242.51</v>
      </c>
      <c r="N421">
        <f t="shared" si="7"/>
        <v>-122.51000000000022</v>
      </c>
      <c r="O421" t="s">
        <v>38</v>
      </c>
      <c r="P421" t="s">
        <v>24</v>
      </c>
      <c r="Q421" t="s">
        <v>39</v>
      </c>
    </row>
    <row r="422" spans="1:17" x14ac:dyDescent="0.3">
      <c r="A422" t="s">
        <v>500</v>
      </c>
      <c r="B422" s="1">
        <v>45370</v>
      </c>
      <c r="C422" t="s">
        <v>49</v>
      </c>
      <c r="D422" t="s">
        <v>41</v>
      </c>
      <c r="E422" t="s">
        <v>42</v>
      </c>
      <c r="F422" t="s">
        <v>29</v>
      </c>
      <c r="G422" t="s">
        <v>43</v>
      </c>
      <c r="H422">
        <v>500</v>
      </c>
      <c r="I422">
        <v>14</v>
      </c>
      <c r="J422">
        <v>5</v>
      </c>
      <c r="K422">
        <v>25</v>
      </c>
      <c r="L422">
        <v>6650</v>
      </c>
      <c r="M422">
        <v>6272.05</v>
      </c>
      <c r="N422">
        <f t="shared" si="7"/>
        <v>377.94999999999982</v>
      </c>
      <c r="O422" t="s">
        <v>38</v>
      </c>
      <c r="P422" t="s">
        <v>31</v>
      </c>
      <c r="Q422" t="s">
        <v>39</v>
      </c>
    </row>
    <row r="423" spans="1:17" x14ac:dyDescent="0.3">
      <c r="A423" t="s">
        <v>501</v>
      </c>
      <c r="B423" s="1">
        <v>45334</v>
      </c>
      <c r="C423" t="s">
        <v>18</v>
      </c>
      <c r="D423" t="s">
        <v>35</v>
      </c>
      <c r="E423" t="s">
        <v>140</v>
      </c>
      <c r="F423" t="s">
        <v>141</v>
      </c>
      <c r="G423" t="s">
        <v>142</v>
      </c>
      <c r="H423">
        <v>12000</v>
      </c>
      <c r="I423">
        <v>11</v>
      </c>
      <c r="J423">
        <v>15</v>
      </c>
      <c r="K423">
        <v>15</v>
      </c>
      <c r="L423">
        <v>112200</v>
      </c>
      <c r="M423">
        <v>97651.3</v>
      </c>
      <c r="N423">
        <f t="shared" si="7"/>
        <v>14548.699999999997</v>
      </c>
      <c r="O423" t="s">
        <v>23</v>
      </c>
      <c r="P423" t="s">
        <v>31</v>
      </c>
      <c r="Q423" t="s">
        <v>32</v>
      </c>
    </row>
    <row r="424" spans="1:17" x14ac:dyDescent="0.3">
      <c r="A424" t="s">
        <v>502</v>
      </c>
      <c r="B424" s="1">
        <v>45467</v>
      </c>
      <c r="C424" t="s">
        <v>18</v>
      </c>
      <c r="D424" t="s">
        <v>70</v>
      </c>
      <c r="E424" t="s">
        <v>151</v>
      </c>
      <c r="F424" t="s">
        <v>141</v>
      </c>
      <c r="G424" t="s">
        <v>142</v>
      </c>
      <c r="H424">
        <v>3500</v>
      </c>
      <c r="I424">
        <v>11</v>
      </c>
      <c r="J424">
        <v>15</v>
      </c>
      <c r="K424">
        <v>5</v>
      </c>
      <c r="L424">
        <v>32725</v>
      </c>
      <c r="M424">
        <v>28118.84</v>
      </c>
      <c r="N424">
        <f t="shared" si="7"/>
        <v>4606.16</v>
      </c>
      <c r="O424" t="s">
        <v>23</v>
      </c>
      <c r="P424" t="s">
        <v>31</v>
      </c>
      <c r="Q424" t="s">
        <v>32</v>
      </c>
    </row>
    <row r="425" spans="1:17" x14ac:dyDescent="0.3">
      <c r="A425" t="s">
        <v>503</v>
      </c>
      <c r="B425" s="1">
        <v>45386</v>
      </c>
      <c r="C425" t="s">
        <v>34</v>
      </c>
      <c r="D425" t="s">
        <v>41</v>
      </c>
      <c r="E425" t="s">
        <v>104</v>
      </c>
      <c r="F425" t="s">
        <v>29</v>
      </c>
      <c r="G425" t="s">
        <v>30</v>
      </c>
      <c r="H425">
        <v>1200</v>
      </c>
      <c r="I425">
        <v>15</v>
      </c>
      <c r="J425">
        <v>5</v>
      </c>
      <c r="K425">
        <v>20</v>
      </c>
      <c r="L425">
        <v>17100</v>
      </c>
      <c r="M425">
        <v>16805.61</v>
      </c>
      <c r="N425">
        <f t="shared" si="7"/>
        <v>294.38999999999942</v>
      </c>
      <c r="O425" t="s">
        <v>38</v>
      </c>
      <c r="P425" t="s">
        <v>31</v>
      </c>
      <c r="Q425" t="s">
        <v>39</v>
      </c>
    </row>
    <row r="426" spans="1:17" x14ac:dyDescent="0.3">
      <c r="A426" t="s">
        <v>504</v>
      </c>
      <c r="B426" s="1">
        <v>45438</v>
      </c>
      <c r="C426" t="s">
        <v>34</v>
      </c>
      <c r="D426" t="s">
        <v>41</v>
      </c>
      <c r="E426" t="s">
        <v>75</v>
      </c>
      <c r="F426" t="s">
        <v>76</v>
      </c>
      <c r="G426" t="s">
        <v>77</v>
      </c>
      <c r="H426">
        <v>8000</v>
      </c>
      <c r="I426">
        <v>10</v>
      </c>
      <c r="J426">
        <v>10</v>
      </c>
      <c r="K426">
        <v>15</v>
      </c>
      <c r="L426">
        <v>72000</v>
      </c>
      <c r="M426">
        <v>66934.570000000007</v>
      </c>
      <c r="N426">
        <f t="shared" si="7"/>
        <v>5065.429999999993</v>
      </c>
      <c r="O426" t="s">
        <v>38</v>
      </c>
      <c r="P426" t="s">
        <v>31</v>
      </c>
      <c r="Q426" t="s">
        <v>39</v>
      </c>
    </row>
    <row r="427" spans="1:17" x14ac:dyDescent="0.3">
      <c r="A427" t="s">
        <v>505</v>
      </c>
      <c r="B427" s="1">
        <v>45350</v>
      </c>
      <c r="C427" t="s">
        <v>49</v>
      </c>
      <c r="D427" t="s">
        <v>19</v>
      </c>
      <c r="E427" t="s">
        <v>140</v>
      </c>
      <c r="F427" t="s">
        <v>141</v>
      </c>
      <c r="G427" t="s">
        <v>142</v>
      </c>
      <c r="H427">
        <v>12000</v>
      </c>
      <c r="I427">
        <v>2</v>
      </c>
      <c r="J427">
        <v>5</v>
      </c>
      <c r="K427">
        <v>10</v>
      </c>
      <c r="L427">
        <v>22800</v>
      </c>
      <c r="M427">
        <v>21494.91</v>
      </c>
      <c r="N427">
        <f t="shared" si="7"/>
        <v>1305.0900000000001</v>
      </c>
      <c r="O427" t="s">
        <v>38</v>
      </c>
      <c r="P427" t="s">
        <v>31</v>
      </c>
      <c r="Q427" t="s">
        <v>39</v>
      </c>
    </row>
    <row r="428" spans="1:17" x14ac:dyDescent="0.3">
      <c r="A428" t="s">
        <v>506</v>
      </c>
      <c r="B428" s="1">
        <v>45424</v>
      </c>
      <c r="C428" t="s">
        <v>53</v>
      </c>
      <c r="D428" t="s">
        <v>70</v>
      </c>
      <c r="E428" t="s">
        <v>57</v>
      </c>
      <c r="F428" t="s">
        <v>46</v>
      </c>
      <c r="G428" t="s">
        <v>58</v>
      </c>
      <c r="H428">
        <v>18000</v>
      </c>
      <c r="I428">
        <v>14</v>
      </c>
      <c r="J428">
        <v>10</v>
      </c>
      <c r="K428">
        <v>5</v>
      </c>
      <c r="L428">
        <v>226800</v>
      </c>
      <c r="M428">
        <v>216096.75</v>
      </c>
      <c r="N428">
        <f t="shared" si="7"/>
        <v>10703.25</v>
      </c>
      <c r="O428" t="s">
        <v>23</v>
      </c>
      <c r="P428" t="s">
        <v>31</v>
      </c>
      <c r="Q428" t="s">
        <v>32</v>
      </c>
    </row>
    <row r="429" spans="1:17" x14ac:dyDescent="0.3">
      <c r="A429" t="s">
        <v>507</v>
      </c>
      <c r="B429" s="1">
        <v>45461</v>
      </c>
      <c r="C429" t="s">
        <v>53</v>
      </c>
      <c r="D429" t="s">
        <v>19</v>
      </c>
      <c r="E429" t="s">
        <v>104</v>
      </c>
      <c r="F429" t="s">
        <v>29</v>
      </c>
      <c r="G429" t="s">
        <v>30</v>
      </c>
      <c r="H429">
        <v>1200</v>
      </c>
      <c r="I429">
        <v>14</v>
      </c>
      <c r="J429">
        <v>5</v>
      </c>
      <c r="K429">
        <v>0</v>
      </c>
      <c r="L429">
        <v>15960</v>
      </c>
      <c r="M429">
        <v>15414.16</v>
      </c>
      <c r="N429">
        <f t="shared" si="7"/>
        <v>545.84000000000015</v>
      </c>
      <c r="O429" t="s">
        <v>23</v>
      </c>
      <c r="P429" t="s">
        <v>31</v>
      </c>
      <c r="Q429" t="s">
        <v>32</v>
      </c>
    </row>
    <row r="430" spans="1:17" x14ac:dyDescent="0.3">
      <c r="A430" t="s">
        <v>508</v>
      </c>
      <c r="B430" s="1">
        <v>45334</v>
      </c>
      <c r="C430" t="s">
        <v>34</v>
      </c>
      <c r="D430" t="s">
        <v>35</v>
      </c>
      <c r="E430" t="s">
        <v>63</v>
      </c>
      <c r="F430" t="s">
        <v>64</v>
      </c>
      <c r="G430" t="s">
        <v>65</v>
      </c>
      <c r="H430">
        <v>4000</v>
      </c>
      <c r="I430">
        <v>9</v>
      </c>
      <c r="J430">
        <v>10</v>
      </c>
      <c r="K430">
        <v>15</v>
      </c>
      <c r="L430">
        <v>32400</v>
      </c>
      <c r="M430">
        <v>28948.58</v>
      </c>
      <c r="N430">
        <f t="shared" si="7"/>
        <v>3451.4199999999983</v>
      </c>
      <c r="O430" t="s">
        <v>38</v>
      </c>
      <c r="P430" t="s">
        <v>31</v>
      </c>
      <c r="Q430" t="s">
        <v>39</v>
      </c>
    </row>
    <row r="431" spans="1:17" x14ac:dyDescent="0.3">
      <c r="A431" t="s">
        <v>509</v>
      </c>
      <c r="B431" s="1">
        <v>45299</v>
      </c>
      <c r="C431" t="s">
        <v>53</v>
      </c>
      <c r="D431" t="s">
        <v>27</v>
      </c>
      <c r="E431" t="s">
        <v>20</v>
      </c>
      <c r="F431" t="s">
        <v>21</v>
      </c>
      <c r="G431" t="s">
        <v>22</v>
      </c>
      <c r="H431">
        <v>6000</v>
      </c>
      <c r="I431">
        <v>14</v>
      </c>
      <c r="J431">
        <v>15</v>
      </c>
      <c r="K431">
        <v>25</v>
      </c>
      <c r="L431">
        <v>71400</v>
      </c>
      <c r="M431">
        <v>67253.91</v>
      </c>
      <c r="N431">
        <f t="shared" si="7"/>
        <v>4146.0899999999965</v>
      </c>
      <c r="O431" t="s">
        <v>38</v>
      </c>
      <c r="P431" t="s">
        <v>31</v>
      </c>
      <c r="Q431" t="s">
        <v>39</v>
      </c>
    </row>
    <row r="432" spans="1:17" x14ac:dyDescent="0.3">
      <c r="A432" t="s">
        <v>510</v>
      </c>
      <c r="B432" s="1">
        <v>45341</v>
      </c>
      <c r="C432" t="s">
        <v>18</v>
      </c>
      <c r="D432" t="s">
        <v>92</v>
      </c>
      <c r="E432" t="s">
        <v>67</v>
      </c>
      <c r="F432" t="s">
        <v>29</v>
      </c>
      <c r="G432" t="s">
        <v>68</v>
      </c>
      <c r="H432">
        <v>1200</v>
      </c>
      <c r="I432">
        <v>7</v>
      </c>
      <c r="J432">
        <v>10</v>
      </c>
      <c r="K432">
        <v>10</v>
      </c>
      <c r="L432">
        <v>7560</v>
      </c>
      <c r="M432">
        <v>7644.8</v>
      </c>
      <c r="N432">
        <f t="shared" si="7"/>
        <v>-84.800000000000182</v>
      </c>
      <c r="O432" t="s">
        <v>23</v>
      </c>
      <c r="P432" t="s">
        <v>24</v>
      </c>
      <c r="Q432" t="s">
        <v>25</v>
      </c>
    </row>
    <row r="433" spans="1:17" x14ac:dyDescent="0.3">
      <c r="A433" t="s">
        <v>511</v>
      </c>
      <c r="B433" s="1">
        <v>45417</v>
      </c>
      <c r="C433" t="s">
        <v>18</v>
      </c>
      <c r="D433" t="s">
        <v>19</v>
      </c>
      <c r="E433" t="s">
        <v>129</v>
      </c>
      <c r="F433" t="s">
        <v>21</v>
      </c>
      <c r="G433" t="s">
        <v>82</v>
      </c>
      <c r="H433">
        <v>3500</v>
      </c>
      <c r="I433">
        <v>10</v>
      </c>
      <c r="J433">
        <v>15</v>
      </c>
      <c r="K433">
        <v>15</v>
      </c>
      <c r="L433">
        <v>29750</v>
      </c>
      <c r="M433">
        <v>26209.599999999999</v>
      </c>
      <c r="N433">
        <f t="shared" si="7"/>
        <v>3540.4000000000015</v>
      </c>
      <c r="O433" t="s">
        <v>23</v>
      </c>
      <c r="P433" t="s">
        <v>31</v>
      </c>
      <c r="Q433" t="s">
        <v>32</v>
      </c>
    </row>
    <row r="434" spans="1:17" x14ac:dyDescent="0.3">
      <c r="A434" t="s">
        <v>512</v>
      </c>
      <c r="B434" s="1">
        <v>45470</v>
      </c>
      <c r="C434" t="s">
        <v>34</v>
      </c>
      <c r="D434" t="s">
        <v>70</v>
      </c>
      <c r="E434" t="s">
        <v>45</v>
      </c>
      <c r="F434" t="s">
        <v>46</v>
      </c>
      <c r="G434" t="s">
        <v>47</v>
      </c>
      <c r="H434">
        <v>15000</v>
      </c>
      <c r="I434">
        <v>1</v>
      </c>
      <c r="J434">
        <v>10</v>
      </c>
      <c r="K434">
        <v>25</v>
      </c>
      <c r="L434">
        <v>13500</v>
      </c>
      <c r="M434">
        <v>13678.72</v>
      </c>
      <c r="N434">
        <f t="shared" si="7"/>
        <v>-178.71999999999935</v>
      </c>
      <c r="O434" t="s">
        <v>38</v>
      </c>
      <c r="P434" t="s">
        <v>24</v>
      </c>
      <c r="Q434" t="s">
        <v>39</v>
      </c>
    </row>
    <row r="435" spans="1:17" x14ac:dyDescent="0.3">
      <c r="A435" t="s">
        <v>513</v>
      </c>
      <c r="B435" s="1">
        <v>45433</v>
      </c>
      <c r="C435" t="s">
        <v>34</v>
      </c>
      <c r="D435" t="s">
        <v>41</v>
      </c>
      <c r="E435" t="s">
        <v>75</v>
      </c>
      <c r="F435" t="s">
        <v>76</v>
      </c>
      <c r="G435" t="s">
        <v>77</v>
      </c>
      <c r="H435">
        <v>8000</v>
      </c>
      <c r="I435">
        <v>1</v>
      </c>
      <c r="J435">
        <v>15</v>
      </c>
      <c r="K435">
        <v>5</v>
      </c>
      <c r="L435">
        <v>6800</v>
      </c>
      <c r="M435">
        <v>6586.73</v>
      </c>
      <c r="N435">
        <f t="shared" si="7"/>
        <v>213.27000000000044</v>
      </c>
      <c r="O435" t="s">
        <v>23</v>
      </c>
      <c r="P435" t="s">
        <v>31</v>
      </c>
      <c r="Q435" t="s">
        <v>32</v>
      </c>
    </row>
    <row r="436" spans="1:17" x14ac:dyDescent="0.3">
      <c r="A436" t="s">
        <v>514</v>
      </c>
      <c r="B436" s="1">
        <v>45472</v>
      </c>
      <c r="C436" t="s">
        <v>49</v>
      </c>
      <c r="D436" t="s">
        <v>41</v>
      </c>
      <c r="E436" t="s">
        <v>42</v>
      </c>
      <c r="F436" t="s">
        <v>29</v>
      </c>
      <c r="G436" t="s">
        <v>43</v>
      </c>
      <c r="H436">
        <v>500</v>
      </c>
      <c r="I436">
        <v>15</v>
      </c>
      <c r="J436">
        <v>15</v>
      </c>
      <c r="K436">
        <v>20</v>
      </c>
      <c r="L436">
        <v>6375</v>
      </c>
      <c r="M436">
        <v>6319.55</v>
      </c>
      <c r="N436">
        <f t="shared" si="7"/>
        <v>55.449999999999818</v>
      </c>
      <c r="O436" t="s">
        <v>38</v>
      </c>
      <c r="P436" t="s">
        <v>31</v>
      </c>
      <c r="Q436" t="s">
        <v>39</v>
      </c>
    </row>
    <row r="437" spans="1:17" x14ac:dyDescent="0.3">
      <c r="A437" t="s">
        <v>515</v>
      </c>
      <c r="B437" s="1">
        <v>45455</v>
      </c>
      <c r="C437" t="s">
        <v>18</v>
      </c>
      <c r="D437" t="s">
        <v>19</v>
      </c>
      <c r="E437" t="s">
        <v>28</v>
      </c>
      <c r="F437" t="s">
        <v>29</v>
      </c>
      <c r="G437" t="s">
        <v>30</v>
      </c>
      <c r="H437">
        <v>1800</v>
      </c>
      <c r="I437">
        <v>15</v>
      </c>
      <c r="J437">
        <v>5</v>
      </c>
      <c r="K437">
        <v>20</v>
      </c>
      <c r="L437">
        <v>25650</v>
      </c>
      <c r="M437">
        <v>23394.54</v>
      </c>
      <c r="N437">
        <f t="shared" si="7"/>
        <v>2255.4599999999991</v>
      </c>
      <c r="O437" t="s">
        <v>38</v>
      </c>
      <c r="P437" t="s">
        <v>31</v>
      </c>
      <c r="Q437" t="s">
        <v>39</v>
      </c>
    </row>
    <row r="438" spans="1:17" x14ac:dyDescent="0.3">
      <c r="A438" t="s">
        <v>516</v>
      </c>
      <c r="B438" s="1">
        <v>45436</v>
      </c>
      <c r="C438" t="s">
        <v>53</v>
      </c>
      <c r="D438" t="s">
        <v>19</v>
      </c>
      <c r="E438" t="s">
        <v>42</v>
      </c>
      <c r="F438" t="s">
        <v>29</v>
      </c>
      <c r="G438" t="s">
        <v>43</v>
      </c>
      <c r="H438">
        <v>500</v>
      </c>
      <c r="I438">
        <v>13</v>
      </c>
      <c r="J438">
        <v>10</v>
      </c>
      <c r="K438">
        <v>20</v>
      </c>
      <c r="L438">
        <v>5850</v>
      </c>
      <c r="M438">
        <v>5186.78</v>
      </c>
      <c r="N438">
        <f t="shared" si="7"/>
        <v>663.22000000000025</v>
      </c>
      <c r="O438" t="s">
        <v>38</v>
      </c>
      <c r="P438" t="s">
        <v>31</v>
      </c>
      <c r="Q438" t="s">
        <v>39</v>
      </c>
    </row>
    <row r="439" spans="1:17" x14ac:dyDescent="0.3">
      <c r="A439" t="s">
        <v>517</v>
      </c>
      <c r="B439" s="1">
        <v>45392</v>
      </c>
      <c r="C439" t="s">
        <v>34</v>
      </c>
      <c r="D439" t="s">
        <v>19</v>
      </c>
      <c r="E439" t="s">
        <v>28</v>
      </c>
      <c r="F439" t="s">
        <v>29</v>
      </c>
      <c r="G439" t="s">
        <v>30</v>
      </c>
      <c r="H439">
        <v>1800</v>
      </c>
      <c r="I439">
        <v>8</v>
      </c>
      <c r="J439">
        <v>5</v>
      </c>
      <c r="K439">
        <v>20</v>
      </c>
      <c r="L439">
        <v>13680</v>
      </c>
      <c r="M439">
        <v>13024.25</v>
      </c>
      <c r="N439">
        <f t="shared" si="7"/>
        <v>655.75</v>
      </c>
      <c r="O439" t="s">
        <v>38</v>
      </c>
      <c r="P439" t="s">
        <v>31</v>
      </c>
      <c r="Q439" t="s">
        <v>39</v>
      </c>
    </row>
    <row r="440" spans="1:17" x14ac:dyDescent="0.3">
      <c r="A440" t="s">
        <v>518</v>
      </c>
      <c r="B440" s="1">
        <v>45412</v>
      </c>
      <c r="C440" t="s">
        <v>49</v>
      </c>
      <c r="D440" t="s">
        <v>27</v>
      </c>
      <c r="E440" t="s">
        <v>67</v>
      </c>
      <c r="F440" t="s">
        <v>29</v>
      </c>
      <c r="G440" t="s">
        <v>68</v>
      </c>
      <c r="H440">
        <v>1200</v>
      </c>
      <c r="I440">
        <v>9</v>
      </c>
      <c r="J440">
        <v>10</v>
      </c>
      <c r="K440">
        <v>5</v>
      </c>
      <c r="L440">
        <v>9720</v>
      </c>
      <c r="M440">
        <v>10044.48</v>
      </c>
      <c r="N440">
        <f t="shared" si="7"/>
        <v>-324.47999999999956</v>
      </c>
      <c r="O440" t="s">
        <v>23</v>
      </c>
      <c r="P440" t="s">
        <v>24</v>
      </c>
      <c r="Q440" t="s">
        <v>25</v>
      </c>
    </row>
    <row r="441" spans="1:17" x14ac:dyDescent="0.3">
      <c r="A441" t="s">
        <v>519</v>
      </c>
      <c r="B441" s="1">
        <v>45316</v>
      </c>
      <c r="C441" t="s">
        <v>53</v>
      </c>
      <c r="D441" t="s">
        <v>27</v>
      </c>
      <c r="E441" t="s">
        <v>45</v>
      </c>
      <c r="F441" t="s">
        <v>46</v>
      </c>
      <c r="G441" t="s">
        <v>47</v>
      </c>
      <c r="H441">
        <v>15000</v>
      </c>
      <c r="I441">
        <v>2</v>
      </c>
      <c r="J441">
        <v>5</v>
      </c>
      <c r="K441">
        <v>15</v>
      </c>
      <c r="L441">
        <v>28500</v>
      </c>
      <c r="M441">
        <v>27267.72</v>
      </c>
      <c r="N441">
        <f t="shared" si="7"/>
        <v>1232.2799999999988</v>
      </c>
      <c r="O441" t="s">
        <v>38</v>
      </c>
      <c r="P441" t="s">
        <v>31</v>
      </c>
      <c r="Q441" t="s">
        <v>39</v>
      </c>
    </row>
    <row r="442" spans="1:17" x14ac:dyDescent="0.3">
      <c r="A442" t="s">
        <v>520</v>
      </c>
      <c r="B442" s="1">
        <v>45340</v>
      </c>
      <c r="C442" t="s">
        <v>34</v>
      </c>
      <c r="D442" t="s">
        <v>92</v>
      </c>
      <c r="E442" t="s">
        <v>107</v>
      </c>
      <c r="F442" t="s">
        <v>108</v>
      </c>
      <c r="G442" t="s">
        <v>109</v>
      </c>
      <c r="H442">
        <v>18000</v>
      </c>
      <c r="I442">
        <v>7</v>
      </c>
      <c r="J442">
        <v>5</v>
      </c>
      <c r="K442">
        <v>25</v>
      </c>
      <c r="L442">
        <v>119700</v>
      </c>
      <c r="M442">
        <v>103776.27</v>
      </c>
      <c r="N442">
        <f t="shared" si="7"/>
        <v>15923.729999999996</v>
      </c>
      <c r="O442" t="s">
        <v>38</v>
      </c>
      <c r="P442" t="s">
        <v>31</v>
      </c>
      <c r="Q442" t="s">
        <v>39</v>
      </c>
    </row>
    <row r="443" spans="1:17" x14ac:dyDescent="0.3">
      <c r="A443" t="s">
        <v>521</v>
      </c>
      <c r="B443" s="1">
        <v>45337</v>
      </c>
      <c r="C443" t="s">
        <v>53</v>
      </c>
      <c r="D443" t="s">
        <v>92</v>
      </c>
      <c r="E443" t="s">
        <v>45</v>
      </c>
      <c r="F443" t="s">
        <v>46</v>
      </c>
      <c r="G443" t="s">
        <v>47</v>
      </c>
      <c r="H443">
        <v>15000</v>
      </c>
      <c r="I443">
        <v>1</v>
      </c>
      <c r="J443">
        <v>15</v>
      </c>
      <c r="K443">
        <v>20</v>
      </c>
      <c r="L443">
        <v>12750</v>
      </c>
      <c r="M443">
        <v>13017.5</v>
      </c>
      <c r="N443">
        <f t="shared" si="7"/>
        <v>-267.5</v>
      </c>
      <c r="O443" t="s">
        <v>38</v>
      </c>
      <c r="P443" t="s">
        <v>24</v>
      </c>
      <c r="Q443" t="s">
        <v>39</v>
      </c>
    </row>
    <row r="444" spans="1:17" x14ac:dyDescent="0.3">
      <c r="A444" t="s">
        <v>522</v>
      </c>
      <c r="B444" s="1">
        <v>45330</v>
      </c>
      <c r="C444" t="s">
        <v>18</v>
      </c>
      <c r="D444" t="s">
        <v>92</v>
      </c>
      <c r="E444" t="s">
        <v>45</v>
      </c>
      <c r="F444" t="s">
        <v>46</v>
      </c>
      <c r="G444" t="s">
        <v>47</v>
      </c>
      <c r="H444">
        <v>15000</v>
      </c>
      <c r="I444">
        <v>3</v>
      </c>
      <c r="J444">
        <v>5</v>
      </c>
      <c r="K444">
        <v>15</v>
      </c>
      <c r="L444">
        <v>42750</v>
      </c>
      <c r="M444">
        <v>41403.15</v>
      </c>
      <c r="N444">
        <f t="shared" si="7"/>
        <v>1346.8499999999985</v>
      </c>
      <c r="O444" t="s">
        <v>38</v>
      </c>
      <c r="P444" t="s">
        <v>31</v>
      </c>
      <c r="Q444" t="s">
        <v>39</v>
      </c>
    </row>
    <row r="445" spans="1:17" x14ac:dyDescent="0.3">
      <c r="A445" t="s">
        <v>523</v>
      </c>
      <c r="B445" s="1">
        <v>45447</v>
      </c>
      <c r="C445" t="s">
        <v>18</v>
      </c>
      <c r="D445" t="s">
        <v>92</v>
      </c>
      <c r="E445" t="s">
        <v>28</v>
      </c>
      <c r="F445" t="s">
        <v>29</v>
      </c>
      <c r="G445" t="s">
        <v>30</v>
      </c>
      <c r="H445">
        <v>1800</v>
      </c>
      <c r="I445">
        <v>11</v>
      </c>
      <c r="J445">
        <v>15</v>
      </c>
      <c r="K445">
        <v>20</v>
      </c>
      <c r="L445">
        <v>16830</v>
      </c>
      <c r="M445">
        <v>15440.02</v>
      </c>
      <c r="N445">
        <f t="shared" si="7"/>
        <v>1389.9799999999996</v>
      </c>
      <c r="O445" t="s">
        <v>38</v>
      </c>
      <c r="P445" t="s">
        <v>31</v>
      </c>
      <c r="Q445" t="s">
        <v>39</v>
      </c>
    </row>
    <row r="446" spans="1:17" x14ac:dyDescent="0.3">
      <c r="A446" t="s">
        <v>524</v>
      </c>
      <c r="B446" s="1">
        <v>45335</v>
      </c>
      <c r="C446" t="s">
        <v>49</v>
      </c>
      <c r="D446" t="s">
        <v>35</v>
      </c>
      <c r="E446" t="s">
        <v>155</v>
      </c>
      <c r="F446" t="s">
        <v>21</v>
      </c>
      <c r="G446" t="s">
        <v>72</v>
      </c>
      <c r="H446">
        <v>35000</v>
      </c>
      <c r="I446">
        <v>1</v>
      </c>
      <c r="J446">
        <v>10</v>
      </c>
      <c r="K446">
        <v>0</v>
      </c>
      <c r="L446">
        <v>31500</v>
      </c>
      <c r="M446">
        <v>27738.2</v>
      </c>
      <c r="N446">
        <f t="shared" si="7"/>
        <v>3761.7999999999993</v>
      </c>
      <c r="O446" t="s">
        <v>23</v>
      </c>
      <c r="P446" t="s">
        <v>31</v>
      </c>
      <c r="Q446" t="s">
        <v>32</v>
      </c>
    </row>
    <row r="447" spans="1:17" x14ac:dyDescent="0.3">
      <c r="A447" t="s">
        <v>525</v>
      </c>
      <c r="B447" s="1">
        <v>45319</v>
      </c>
      <c r="C447" t="s">
        <v>53</v>
      </c>
      <c r="D447" t="s">
        <v>92</v>
      </c>
      <c r="E447" t="s">
        <v>50</v>
      </c>
      <c r="F447" t="s">
        <v>21</v>
      </c>
      <c r="G447" t="s">
        <v>51</v>
      </c>
      <c r="H447">
        <v>4500</v>
      </c>
      <c r="I447">
        <v>4</v>
      </c>
      <c r="J447">
        <v>15</v>
      </c>
      <c r="K447">
        <v>20</v>
      </c>
      <c r="L447">
        <v>15300</v>
      </c>
      <c r="M447">
        <v>13484.15</v>
      </c>
      <c r="N447">
        <f t="shared" si="7"/>
        <v>1815.8500000000004</v>
      </c>
      <c r="O447" t="s">
        <v>38</v>
      </c>
      <c r="P447" t="s">
        <v>31</v>
      </c>
      <c r="Q447" t="s">
        <v>39</v>
      </c>
    </row>
    <row r="448" spans="1:17" x14ac:dyDescent="0.3">
      <c r="A448" t="s">
        <v>526</v>
      </c>
      <c r="B448" s="1">
        <v>45387</v>
      </c>
      <c r="C448" t="s">
        <v>49</v>
      </c>
      <c r="D448" t="s">
        <v>70</v>
      </c>
      <c r="E448" t="s">
        <v>90</v>
      </c>
      <c r="F448" t="s">
        <v>29</v>
      </c>
      <c r="G448" t="s">
        <v>37</v>
      </c>
      <c r="H448">
        <v>6500</v>
      </c>
      <c r="I448">
        <v>10</v>
      </c>
      <c r="J448">
        <v>10</v>
      </c>
      <c r="K448">
        <v>5</v>
      </c>
      <c r="L448">
        <v>58500</v>
      </c>
      <c r="M448">
        <v>50975.58</v>
      </c>
      <c r="N448">
        <f t="shared" si="7"/>
        <v>7524.4199999999983</v>
      </c>
      <c r="O448" t="s">
        <v>23</v>
      </c>
      <c r="P448" t="s">
        <v>31</v>
      </c>
      <c r="Q448" t="s">
        <v>32</v>
      </c>
    </row>
    <row r="449" spans="1:17" x14ac:dyDescent="0.3">
      <c r="A449" t="s">
        <v>527</v>
      </c>
      <c r="B449" s="1">
        <v>45301</v>
      </c>
      <c r="C449" t="s">
        <v>49</v>
      </c>
      <c r="D449" t="s">
        <v>27</v>
      </c>
      <c r="E449" t="s">
        <v>54</v>
      </c>
      <c r="F449" t="s">
        <v>46</v>
      </c>
      <c r="G449" t="s">
        <v>55</v>
      </c>
      <c r="H449">
        <v>4500</v>
      </c>
      <c r="I449">
        <v>2</v>
      </c>
      <c r="J449">
        <v>5</v>
      </c>
      <c r="K449">
        <v>25</v>
      </c>
      <c r="L449">
        <v>8550</v>
      </c>
      <c r="M449">
        <v>8103.79</v>
      </c>
      <c r="N449">
        <f t="shared" si="7"/>
        <v>446.21000000000004</v>
      </c>
      <c r="O449" t="s">
        <v>38</v>
      </c>
      <c r="P449" t="s">
        <v>31</v>
      </c>
      <c r="Q449" t="s">
        <v>39</v>
      </c>
    </row>
    <row r="450" spans="1:17" x14ac:dyDescent="0.3">
      <c r="A450" t="s">
        <v>528</v>
      </c>
      <c r="B450" s="1">
        <v>45439</v>
      </c>
      <c r="C450" t="s">
        <v>34</v>
      </c>
      <c r="D450" t="s">
        <v>19</v>
      </c>
      <c r="E450" t="s">
        <v>129</v>
      </c>
      <c r="F450" t="s">
        <v>21</v>
      </c>
      <c r="G450" t="s">
        <v>82</v>
      </c>
      <c r="H450">
        <v>3500</v>
      </c>
      <c r="I450">
        <v>2</v>
      </c>
      <c r="J450">
        <v>15</v>
      </c>
      <c r="K450">
        <v>20</v>
      </c>
      <c r="L450">
        <v>5950</v>
      </c>
      <c r="M450">
        <v>5222.18</v>
      </c>
      <c r="N450">
        <f t="shared" si="7"/>
        <v>727.81999999999971</v>
      </c>
      <c r="O450" t="s">
        <v>38</v>
      </c>
      <c r="P450" t="s">
        <v>31</v>
      </c>
      <c r="Q450" t="s">
        <v>39</v>
      </c>
    </row>
    <row r="451" spans="1:17" x14ac:dyDescent="0.3">
      <c r="A451" t="s">
        <v>529</v>
      </c>
      <c r="B451" s="1">
        <v>45322</v>
      </c>
      <c r="C451" t="s">
        <v>53</v>
      </c>
      <c r="D451" t="s">
        <v>92</v>
      </c>
      <c r="E451" t="s">
        <v>167</v>
      </c>
      <c r="F451" t="s">
        <v>21</v>
      </c>
      <c r="G451" t="s">
        <v>82</v>
      </c>
      <c r="H451">
        <v>7000</v>
      </c>
      <c r="I451">
        <v>5</v>
      </c>
      <c r="J451">
        <v>5</v>
      </c>
      <c r="K451">
        <v>0</v>
      </c>
      <c r="L451">
        <v>33250</v>
      </c>
      <c r="M451">
        <v>30750.31</v>
      </c>
      <c r="N451">
        <f t="shared" ref="N451:N514" si="8">L451-M451</f>
        <v>2499.6899999999987</v>
      </c>
      <c r="O451" t="s">
        <v>23</v>
      </c>
      <c r="P451" t="s">
        <v>31</v>
      </c>
      <c r="Q451" t="s">
        <v>32</v>
      </c>
    </row>
    <row r="452" spans="1:17" x14ac:dyDescent="0.3">
      <c r="A452" t="s">
        <v>530</v>
      </c>
      <c r="B452" s="1">
        <v>45447</v>
      </c>
      <c r="C452" t="s">
        <v>53</v>
      </c>
      <c r="D452" t="s">
        <v>92</v>
      </c>
      <c r="E452" t="s">
        <v>61</v>
      </c>
      <c r="F452" t="s">
        <v>29</v>
      </c>
      <c r="G452" t="s">
        <v>43</v>
      </c>
      <c r="H452">
        <v>2800</v>
      </c>
      <c r="I452">
        <v>3</v>
      </c>
      <c r="J452">
        <v>10</v>
      </c>
      <c r="K452">
        <v>5</v>
      </c>
      <c r="L452">
        <v>7560</v>
      </c>
      <c r="M452">
        <v>7554.95</v>
      </c>
      <c r="N452">
        <f t="shared" si="8"/>
        <v>5.0500000000001819</v>
      </c>
      <c r="O452" t="s">
        <v>23</v>
      </c>
      <c r="P452" t="s">
        <v>31</v>
      </c>
      <c r="Q452" t="s">
        <v>32</v>
      </c>
    </row>
    <row r="453" spans="1:17" x14ac:dyDescent="0.3">
      <c r="A453" t="s">
        <v>531</v>
      </c>
      <c r="B453" s="1">
        <v>45352</v>
      </c>
      <c r="C453" t="s">
        <v>34</v>
      </c>
      <c r="D453" t="s">
        <v>27</v>
      </c>
      <c r="E453" t="s">
        <v>167</v>
      </c>
      <c r="F453" t="s">
        <v>21</v>
      </c>
      <c r="G453" t="s">
        <v>82</v>
      </c>
      <c r="H453">
        <v>7000</v>
      </c>
      <c r="I453">
        <v>8</v>
      </c>
      <c r="J453">
        <v>5</v>
      </c>
      <c r="K453">
        <v>5</v>
      </c>
      <c r="L453">
        <v>53200</v>
      </c>
      <c r="M453">
        <v>52480.49</v>
      </c>
      <c r="N453">
        <f t="shared" si="8"/>
        <v>719.51000000000204</v>
      </c>
      <c r="O453" t="s">
        <v>23</v>
      </c>
      <c r="P453" t="s">
        <v>31</v>
      </c>
      <c r="Q453" t="s">
        <v>32</v>
      </c>
    </row>
    <row r="454" spans="1:17" x14ac:dyDescent="0.3">
      <c r="A454" t="s">
        <v>532</v>
      </c>
      <c r="B454" s="1">
        <v>45428</v>
      </c>
      <c r="C454" t="s">
        <v>18</v>
      </c>
      <c r="D454" t="s">
        <v>41</v>
      </c>
      <c r="E454" t="s">
        <v>81</v>
      </c>
      <c r="F454" t="s">
        <v>21</v>
      </c>
      <c r="G454" t="s">
        <v>82</v>
      </c>
      <c r="H454">
        <v>8000</v>
      </c>
      <c r="I454">
        <v>4</v>
      </c>
      <c r="J454">
        <v>10</v>
      </c>
      <c r="K454">
        <v>20</v>
      </c>
      <c r="L454">
        <v>28800</v>
      </c>
      <c r="M454">
        <v>29327.26</v>
      </c>
      <c r="N454">
        <f t="shared" si="8"/>
        <v>-527.2599999999984</v>
      </c>
      <c r="O454" t="s">
        <v>38</v>
      </c>
      <c r="P454" t="s">
        <v>24</v>
      </c>
      <c r="Q454" t="s">
        <v>39</v>
      </c>
    </row>
    <row r="455" spans="1:17" x14ac:dyDescent="0.3">
      <c r="A455" t="s">
        <v>533</v>
      </c>
      <c r="B455" s="1">
        <v>45354</v>
      </c>
      <c r="C455" t="s">
        <v>53</v>
      </c>
      <c r="D455" t="s">
        <v>92</v>
      </c>
      <c r="E455" t="s">
        <v>104</v>
      </c>
      <c r="F455" t="s">
        <v>29</v>
      </c>
      <c r="G455" t="s">
        <v>30</v>
      </c>
      <c r="H455">
        <v>1200</v>
      </c>
      <c r="I455">
        <v>3</v>
      </c>
      <c r="J455">
        <v>5</v>
      </c>
      <c r="K455">
        <v>15</v>
      </c>
      <c r="L455">
        <v>3420</v>
      </c>
      <c r="M455">
        <v>2907.11</v>
      </c>
      <c r="N455">
        <f t="shared" si="8"/>
        <v>512.88999999999987</v>
      </c>
      <c r="O455" t="s">
        <v>38</v>
      </c>
      <c r="P455" t="s">
        <v>31</v>
      </c>
      <c r="Q455" t="s">
        <v>39</v>
      </c>
    </row>
    <row r="456" spans="1:17" x14ac:dyDescent="0.3">
      <c r="A456" t="s">
        <v>534</v>
      </c>
      <c r="B456" s="1">
        <v>45454</v>
      </c>
      <c r="C456" t="s">
        <v>34</v>
      </c>
      <c r="D456" t="s">
        <v>92</v>
      </c>
      <c r="E456" t="s">
        <v>155</v>
      </c>
      <c r="F456" t="s">
        <v>21</v>
      </c>
      <c r="G456" t="s">
        <v>72</v>
      </c>
      <c r="H456">
        <v>35000</v>
      </c>
      <c r="I456">
        <v>12</v>
      </c>
      <c r="J456">
        <v>15</v>
      </c>
      <c r="K456">
        <v>15</v>
      </c>
      <c r="L456">
        <v>357000</v>
      </c>
      <c r="M456">
        <v>329002.59000000003</v>
      </c>
      <c r="N456">
        <f t="shared" si="8"/>
        <v>27997.409999999974</v>
      </c>
      <c r="O456" t="s">
        <v>23</v>
      </c>
      <c r="P456" t="s">
        <v>31</v>
      </c>
      <c r="Q456" t="s">
        <v>32</v>
      </c>
    </row>
    <row r="457" spans="1:17" x14ac:dyDescent="0.3">
      <c r="A457" t="s">
        <v>535</v>
      </c>
      <c r="B457" s="1">
        <v>45420</v>
      </c>
      <c r="C457" t="s">
        <v>53</v>
      </c>
      <c r="D457" t="s">
        <v>92</v>
      </c>
      <c r="E457" t="s">
        <v>67</v>
      </c>
      <c r="F457" t="s">
        <v>29</v>
      </c>
      <c r="G457" t="s">
        <v>68</v>
      </c>
      <c r="H457">
        <v>1200</v>
      </c>
      <c r="I457">
        <v>6</v>
      </c>
      <c r="J457">
        <v>10</v>
      </c>
      <c r="K457">
        <v>15</v>
      </c>
      <c r="L457">
        <v>6480</v>
      </c>
      <c r="M457">
        <v>6641.64</v>
      </c>
      <c r="N457">
        <f t="shared" si="8"/>
        <v>-161.64000000000033</v>
      </c>
      <c r="O457" t="s">
        <v>38</v>
      </c>
      <c r="P457" t="s">
        <v>24</v>
      </c>
      <c r="Q457" t="s">
        <v>39</v>
      </c>
    </row>
    <row r="458" spans="1:17" x14ac:dyDescent="0.3">
      <c r="A458" t="s">
        <v>536</v>
      </c>
      <c r="B458" s="1">
        <v>45409</v>
      </c>
      <c r="C458" t="s">
        <v>53</v>
      </c>
      <c r="D458" t="s">
        <v>92</v>
      </c>
      <c r="E458" t="s">
        <v>75</v>
      </c>
      <c r="F458" t="s">
        <v>76</v>
      </c>
      <c r="G458" t="s">
        <v>77</v>
      </c>
      <c r="H458">
        <v>8000</v>
      </c>
      <c r="I458">
        <v>6</v>
      </c>
      <c r="J458">
        <v>10</v>
      </c>
      <c r="K458">
        <v>5</v>
      </c>
      <c r="L458">
        <v>43200</v>
      </c>
      <c r="M458">
        <v>37850.980000000003</v>
      </c>
      <c r="N458">
        <f t="shared" si="8"/>
        <v>5349.0199999999968</v>
      </c>
      <c r="O458" t="s">
        <v>23</v>
      </c>
      <c r="P458" t="s">
        <v>31</v>
      </c>
      <c r="Q458" t="s">
        <v>32</v>
      </c>
    </row>
    <row r="459" spans="1:17" x14ac:dyDescent="0.3">
      <c r="A459" t="s">
        <v>537</v>
      </c>
      <c r="B459" s="1">
        <v>45404</v>
      </c>
      <c r="C459" t="s">
        <v>49</v>
      </c>
      <c r="D459" t="s">
        <v>35</v>
      </c>
      <c r="E459" t="s">
        <v>71</v>
      </c>
      <c r="F459" t="s">
        <v>21</v>
      </c>
      <c r="G459" t="s">
        <v>72</v>
      </c>
      <c r="H459">
        <v>60000</v>
      </c>
      <c r="I459">
        <v>1</v>
      </c>
      <c r="J459">
        <v>5</v>
      </c>
      <c r="K459">
        <v>20</v>
      </c>
      <c r="L459">
        <v>57000</v>
      </c>
      <c r="M459">
        <v>50771.14</v>
      </c>
      <c r="N459">
        <f t="shared" si="8"/>
        <v>6228.8600000000006</v>
      </c>
      <c r="O459" t="s">
        <v>38</v>
      </c>
      <c r="P459" t="s">
        <v>31</v>
      </c>
      <c r="Q459" t="s">
        <v>39</v>
      </c>
    </row>
    <row r="460" spans="1:17" x14ac:dyDescent="0.3">
      <c r="A460" t="s">
        <v>538</v>
      </c>
      <c r="B460" s="1">
        <v>45338</v>
      </c>
      <c r="C460" t="s">
        <v>18</v>
      </c>
      <c r="D460" t="s">
        <v>41</v>
      </c>
      <c r="E460" t="s">
        <v>100</v>
      </c>
      <c r="F460" t="s">
        <v>46</v>
      </c>
      <c r="G460" t="s">
        <v>55</v>
      </c>
      <c r="H460">
        <v>2500</v>
      </c>
      <c r="I460">
        <v>14</v>
      </c>
      <c r="J460">
        <v>10</v>
      </c>
      <c r="K460">
        <v>10</v>
      </c>
      <c r="L460">
        <v>31500</v>
      </c>
      <c r="M460">
        <v>30003.64</v>
      </c>
      <c r="N460">
        <f t="shared" si="8"/>
        <v>1496.3600000000006</v>
      </c>
      <c r="O460" t="s">
        <v>23</v>
      </c>
      <c r="P460" t="s">
        <v>31</v>
      </c>
      <c r="Q460" t="s">
        <v>32</v>
      </c>
    </row>
    <row r="461" spans="1:17" x14ac:dyDescent="0.3">
      <c r="A461" t="s">
        <v>539</v>
      </c>
      <c r="B461" s="1">
        <v>45453</v>
      </c>
      <c r="C461" t="s">
        <v>18</v>
      </c>
      <c r="D461" t="s">
        <v>27</v>
      </c>
      <c r="E461" t="s">
        <v>20</v>
      </c>
      <c r="F461" t="s">
        <v>21</v>
      </c>
      <c r="G461" t="s">
        <v>22</v>
      </c>
      <c r="H461">
        <v>6000</v>
      </c>
      <c r="I461">
        <v>13</v>
      </c>
      <c r="J461">
        <v>5</v>
      </c>
      <c r="K461">
        <v>20</v>
      </c>
      <c r="L461">
        <v>74100</v>
      </c>
      <c r="M461">
        <v>65185.49</v>
      </c>
      <c r="N461">
        <f t="shared" si="8"/>
        <v>8914.510000000002</v>
      </c>
      <c r="O461" t="s">
        <v>38</v>
      </c>
      <c r="P461" t="s">
        <v>31</v>
      </c>
      <c r="Q461" t="s">
        <v>39</v>
      </c>
    </row>
    <row r="462" spans="1:17" x14ac:dyDescent="0.3">
      <c r="A462" t="s">
        <v>540</v>
      </c>
      <c r="B462" s="1">
        <v>45339</v>
      </c>
      <c r="C462" t="s">
        <v>53</v>
      </c>
      <c r="D462" t="s">
        <v>70</v>
      </c>
      <c r="E462" t="s">
        <v>57</v>
      </c>
      <c r="F462" t="s">
        <v>46</v>
      </c>
      <c r="G462" t="s">
        <v>58</v>
      </c>
      <c r="H462">
        <v>18000</v>
      </c>
      <c r="I462">
        <v>4</v>
      </c>
      <c r="J462">
        <v>10</v>
      </c>
      <c r="K462">
        <v>5</v>
      </c>
      <c r="L462">
        <v>64800</v>
      </c>
      <c r="M462">
        <v>60310.720000000001</v>
      </c>
      <c r="N462">
        <f t="shared" si="8"/>
        <v>4489.2799999999988</v>
      </c>
      <c r="O462" t="s">
        <v>23</v>
      </c>
      <c r="P462" t="s">
        <v>31</v>
      </c>
      <c r="Q462" t="s">
        <v>32</v>
      </c>
    </row>
    <row r="463" spans="1:17" x14ac:dyDescent="0.3">
      <c r="A463" t="s">
        <v>541</v>
      </c>
      <c r="B463" s="1">
        <v>45427</v>
      </c>
      <c r="C463" t="s">
        <v>18</v>
      </c>
      <c r="D463" t="s">
        <v>35</v>
      </c>
      <c r="E463" t="s">
        <v>167</v>
      </c>
      <c r="F463" t="s">
        <v>21</v>
      </c>
      <c r="G463" t="s">
        <v>82</v>
      </c>
      <c r="H463">
        <v>7000</v>
      </c>
      <c r="I463">
        <v>15</v>
      </c>
      <c r="J463">
        <v>10</v>
      </c>
      <c r="K463">
        <v>0</v>
      </c>
      <c r="L463">
        <v>94500</v>
      </c>
      <c r="M463">
        <v>84375.679999999993</v>
      </c>
      <c r="N463">
        <f t="shared" si="8"/>
        <v>10124.320000000007</v>
      </c>
      <c r="O463" t="s">
        <v>23</v>
      </c>
      <c r="P463" t="s">
        <v>31</v>
      </c>
      <c r="Q463" t="s">
        <v>32</v>
      </c>
    </row>
    <row r="464" spans="1:17" x14ac:dyDescent="0.3">
      <c r="A464" t="s">
        <v>542</v>
      </c>
      <c r="B464" s="1">
        <v>45411</v>
      </c>
      <c r="C464" t="s">
        <v>49</v>
      </c>
      <c r="D464" t="s">
        <v>27</v>
      </c>
      <c r="E464" t="s">
        <v>28</v>
      </c>
      <c r="F464" t="s">
        <v>29</v>
      </c>
      <c r="G464" t="s">
        <v>30</v>
      </c>
      <c r="H464">
        <v>1800</v>
      </c>
      <c r="I464">
        <v>10</v>
      </c>
      <c r="J464">
        <v>10</v>
      </c>
      <c r="K464">
        <v>0</v>
      </c>
      <c r="L464">
        <v>16200</v>
      </c>
      <c r="M464">
        <v>13931.9</v>
      </c>
      <c r="N464">
        <f t="shared" si="8"/>
        <v>2268.1000000000004</v>
      </c>
      <c r="O464" t="s">
        <v>23</v>
      </c>
      <c r="P464" t="s">
        <v>31</v>
      </c>
      <c r="Q464" t="s">
        <v>32</v>
      </c>
    </row>
    <row r="465" spans="1:17" x14ac:dyDescent="0.3">
      <c r="A465" t="s">
        <v>543</v>
      </c>
      <c r="B465" s="1">
        <v>45463</v>
      </c>
      <c r="C465" t="s">
        <v>18</v>
      </c>
      <c r="D465" t="s">
        <v>27</v>
      </c>
      <c r="E465" t="s">
        <v>140</v>
      </c>
      <c r="F465" t="s">
        <v>141</v>
      </c>
      <c r="G465" t="s">
        <v>142</v>
      </c>
      <c r="H465">
        <v>12000</v>
      </c>
      <c r="I465">
        <v>2</v>
      </c>
      <c r="J465">
        <v>5</v>
      </c>
      <c r="K465">
        <v>5</v>
      </c>
      <c r="L465">
        <v>22800</v>
      </c>
      <c r="M465">
        <v>21761.57</v>
      </c>
      <c r="N465">
        <f t="shared" si="8"/>
        <v>1038.4300000000003</v>
      </c>
      <c r="O465" t="s">
        <v>23</v>
      </c>
      <c r="P465" t="s">
        <v>31</v>
      </c>
      <c r="Q465" t="s">
        <v>32</v>
      </c>
    </row>
    <row r="466" spans="1:17" x14ac:dyDescent="0.3">
      <c r="A466" t="s">
        <v>544</v>
      </c>
      <c r="B466" s="1">
        <v>45390</v>
      </c>
      <c r="C466" t="s">
        <v>34</v>
      </c>
      <c r="D466" t="s">
        <v>41</v>
      </c>
      <c r="E466" t="s">
        <v>140</v>
      </c>
      <c r="F466" t="s">
        <v>141</v>
      </c>
      <c r="G466" t="s">
        <v>142</v>
      </c>
      <c r="H466">
        <v>12000</v>
      </c>
      <c r="I466">
        <v>1</v>
      </c>
      <c r="J466">
        <v>5</v>
      </c>
      <c r="K466">
        <v>25</v>
      </c>
      <c r="L466">
        <v>11400</v>
      </c>
      <c r="M466">
        <v>11356.91</v>
      </c>
      <c r="N466">
        <f t="shared" si="8"/>
        <v>43.090000000000146</v>
      </c>
      <c r="O466" t="s">
        <v>38</v>
      </c>
      <c r="P466" t="s">
        <v>31</v>
      </c>
      <c r="Q466" t="s">
        <v>39</v>
      </c>
    </row>
    <row r="467" spans="1:17" x14ac:dyDescent="0.3">
      <c r="A467" t="s">
        <v>545</v>
      </c>
      <c r="B467" s="1">
        <v>45341</v>
      </c>
      <c r="C467" t="s">
        <v>53</v>
      </c>
      <c r="D467" t="s">
        <v>27</v>
      </c>
      <c r="E467" t="s">
        <v>71</v>
      </c>
      <c r="F467" t="s">
        <v>21</v>
      </c>
      <c r="G467" t="s">
        <v>72</v>
      </c>
      <c r="H467">
        <v>60000</v>
      </c>
      <c r="I467">
        <v>9</v>
      </c>
      <c r="J467">
        <v>5</v>
      </c>
      <c r="K467">
        <v>5</v>
      </c>
      <c r="L467">
        <v>513000</v>
      </c>
      <c r="M467">
        <v>521188.08</v>
      </c>
      <c r="N467">
        <f t="shared" si="8"/>
        <v>-8188.0800000000163</v>
      </c>
      <c r="O467" t="s">
        <v>23</v>
      </c>
      <c r="P467" t="s">
        <v>24</v>
      </c>
      <c r="Q467" t="s">
        <v>25</v>
      </c>
    </row>
    <row r="468" spans="1:17" x14ac:dyDescent="0.3">
      <c r="A468" t="s">
        <v>546</v>
      </c>
      <c r="B468" s="1">
        <v>45339</v>
      </c>
      <c r="C468" t="s">
        <v>18</v>
      </c>
      <c r="D468" t="s">
        <v>41</v>
      </c>
      <c r="E468" t="s">
        <v>36</v>
      </c>
      <c r="F468" t="s">
        <v>29</v>
      </c>
      <c r="G468" t="s">
        <v>37</v>
      </c>
      <c r="H468">
        <v>1200</v>
      </c>
      <c r="I468">
        <v>10</v>
      </c>
      <c r="J468">
        <v>15</v>
      </c>
      <c r="K468">
        <v>5</v>
      </c>
      <c r="L468">
        <v>10200</v>
      </c>
      <c r="M468">
        <v>10172.200000000001</v>
      </c>
      <c r="N468">
        <f t="shared" si="8"/>
        <v>27.799999999999272</v>
      </c>
      <c r="O468" t="s">
        <v>23</v>
      </c>
      <c r="P468" t="s">
        <v>31</v>
      </c>
      <c r="Q468" t="s">
        <v>32</v>
      </c>
    </row>
    <row r="469" spans="1:17" x14ac:dyDescent="0.3">
      <c r="A469" t="s">
        <v>547</v>
      </c>
      <c r="B469" s="1">
        <v>45399</v>
      </c>
      <c r="C469" t="s">
        <v>18</v>
      </c>
      <c r="D469" t="s">
        <v>70</v>
      </c>
      <c r="E469" t="s">
        <v>104</v>
      </c>
      <c r="F469" t="s">
        <v>29</v>
      </c>
      <c r="G469" t="s">
        <v>30</v>
      </c>
      <c r="H469">
        <v>1200</v>
      </c>
      <c r="I469">
        <v>10</v>
      </c>
      <c r="J469">
        <v>10</v>
      </c>
      <c r="K469">
        <v>10</v>
      </c>
      <c r="L469">
        <v>10800</v>
      </c>
      <c r="M469">
        <v>11250.08</v>
      </c>
      <c r="N469">
        <f t="shared" si="8"/>
        <v>-450.07999999999993</v>
      </c>
      <c r="O469" t="s">
        <v>23</v>
      </c>
      <c r="P469" t="s">
        <v>24</v>
      </c>
      <c r="Q469" t="s">
        <v>25</v>
      </c>
    </row>
    <row r="470" spans="1:17" x14ac:dyDescent="0.3">
      <c r="A470" t="s">
        <v>548</v>
      </c>
      <c r="B470" s="1">
        <v>45463</v>
      </c>
      <c r="C470" t="s">
        <v>53</v>
      </c>
      <c r="D470" t="s">
        <v>19</v>
      </c>
      <c r="E470" t="s">
        <v>107</v>
      </c>
      <c r="F470" t="s">
        <v>108</v>
      </c>
      <c r="G470" t="s">
        <v>109</v>
      </c>
      <c r="H470">
        <v>18000</v>
      </c>
      <c r="I470">
        <v>12</v>
      </c>
      <c r="J470">
        <v>5</v>
      </c>
      <c r="K470">
        <v>10</v>
      </c>
      <c r="L470">
        <v>205200</v>
      </c>
      <c r="M470">
        <v>209598.01</v>
      </c>
      <c r="N470">
        <f t="shared" si="8"/>
        <v>-4398.0100000000093</v>
      </c>
      <c r="O470" t="s">
        <v>38</v>
      </c>
      <c r="P470" t="s">
        <v>24</v>
      </c>
      <c r="Q470" t="s">
        <v>39</v>
      </c>
    </row>
    <row r="471" spans="1:17" x14ac:dyDescent="0.3">
      <c r="A471" t="s">
        <v>549</v>
      </c>
      <c r="B471" s="1">
        <v>45465</v>
      </c>
      <c r="C471" t="s">
        <v>53</v>
      </c>
      <c r="D471" t="s">
        <v>92</v>
      </c>
      <c r="E471" t="s">
        <v>155</v>
      </c>
      <c r="F471" t="s">
        <v>21</v>
      </c>
      <c r="G471" t="s">
        <v>72</v>
      </c>
      <c r="H471">
        <v>35000</v>
      </c>
      <c r="I471">
        <v>5</v>
      </c>
      <c r="J471">
        <v>5</v>
      </c>
      <c r="K471">
        <v>0</v>
      </c>
      <c r="L471">
        <v>166250</v>
      </c>
      <c r="M471">
        <v>144054.29999999999</v>
      </c>
      <c r="N471">
        <f t="shared" si="8"/>
        <v>22195.700000000012</v>
      </c>
      <c r="O471" t="s">
        <v>23</v>
      </c>
      <c r="P471" t="s">
        <v>31</v>
      </c>
      <c r="Q471" t="s">
        <v>32</v>
      </c>
    </row>
    <row r="472" spans="1:17" x14ac:dyDescent="0.3">
      <c r="A472" t="s">
        <v>550</v>
      </c>
      <c r="B472" s="1">
        <v>45465</v>
      </c>
      <c r="C472" t="s">
        <v>49</v>
      </c>
      <c r="D472" t="s">
        <v>19</v>
      </c>
      <c r="E472" t="s">
        <v>129</v>
      </c>
      <c r="F472" t="s">
        <v>21</v>
      </c>
      <c r="G472" t="s">
        <v>82</v>
      </c>
      <c r="H472">
        <v>3500</v>
      </c>
      <c r="I472">
        <v>13</v>
      </c>
      <c r="J472">
        <v>5</v>
      </c>
      <c r="K472">
        <v>25</v>
      </c>
      <c r="L472">
        <v>43225</v>
      </c>
      <c r="M472">
        <v>42863.12</v>
      </c>
      <c r="N472">
        <f t="shared" si="8"/>
        <v>361.87999999999738</v>
      </c>
      <c r="O472" t="s">
        <v>38</v>
      </c>
      <c r="P472" t="s">
        <v>31</v>
      </c>
      <c r="Q472" t="s">
        <v>39</v>
      </c>
    </row>
    <row r="473" spans="1:17" x14ac:dyDescent="0.3">
      <c r="A473" t="s">
        <v>551</v>
      </c>
      <c r="B473" s="1">
        <v>45338</v>
      </c>
      <c r="C473" t="s">
        <v>53</v>
      </c>
      <c r="D473" t="s">
        <v>41</v>
      </c>
      <c r="E473" t="s">
        <v>20</v>
      </c>
      <c r="F473" t="s">
        <v>21</v>
      </c>
      <c r="G473" t="s">
        <v>22</v>
      </c>
      <c r="H473">
        <v>6000</v>
      </c>
      <c r="I473">
        <v>10</v>
      </c>
      <c r="J473">
        <v>5</v>
      </c>
      <c r="K473">
        <v>0</v>
      </c>
      <c r="L473">
        <v>57000</v>
      </c>
      <c r="M473">
        <v>50234.43</v>
      </c>
      <c r="N473">
        <f t="shared" si="8"/>
        <v>6765.57</v>
      </c>
      <c r="O473" t="s">
        <v>23</v>
      </c>
      <c r="P473" t="s">
        <v>31</v>
      </c>
      <c r="Q473" t="s">
        <v>32</v>
      </c>
    </row>
    <row r="474" spans="1:17" x14ac:dyDescent="0.3">
      <c r="A474" t="s">
        <v>552</v>
      </c>
      <c r="B474" s="1">
        <v>45301</v>
      </c>
      <c r="C474" t="s">
        <v>49</v>
      </c>
      <c r="D474" t="s">
        <v>41</v>
      </c>
      <c r="E474" t="s">
        <v>67</v>
      </c>
      <c r="F474" t="s">
        <v>29</v>
      </c>
      <c r="G474" t="s">
        <v>68</v>
      </c>
      <c r="H474">
        <v>1200</v>
      </c>
      <c r="I474">
        <v>8</v>
      </c>
      <c r="J474">
        <v>10</v>
      </c>
      <c r="K474">
        <v>20</v>
      </c>
      <c r="L474">
        <v>8640</v>
      </c>
      <c r="M474">
        <v>7518.05</v>
      </c>
      <c r="N474">
        <f t="shared" si="8"/>
        <v>1121.9499999999998</v>
      </c>
      <c r="O474" t="s">
        <v>38</v>
      </c>
      <c r="P474" t="s">
        <v>31</v>
      </c>
      <c r="Q474" t="s">
        <v>39</v>
      </c>
    </row>
    <row r="475" spans="1:17" x14ac:dyDescent="0.3">
      <c r="A475" t="s">
        <v>553</v>
      </c>
      <c r="B475" s="1">
        <v>45343</v>
      </c>
      <c r="C475" t="s">
        <v>53</v>
      </c>
      <c r="D475" t="s">
        <v>92</v>
      </c>
      <c r="E475" t="s">
        <v>28</v>
      </c>
      <c r="F475" t="s">
        <v>29</v>
      </c>
      <c r="G475" t="s">
        <v>30</v>
      </c>
      <c r="H475">
        <v>1800</v>
      </c>
      <c r="I475">
        <v>9</v>
      </c>
      <c r="J475">
        <v>10</v>
      </c>
      <c r="K475">
        <v>10</v>
      </c>
      <c r="L475">
        <v>14580</v>
      </c>
      <c r="M475">
        <v>14759.76</v>
      </c>
      <c r="N475">
        <f t="shared" si="8"/>
        <v>-179.76000000000022</v>
      </c>
      <c r="O475" t="s">
        <v>23</v>
      </c>
      <c r="P475" t="s">
        <v>24</v>
      </c>
      <c r="Q475" t="s">
        <v>25</v>
      </c>
    </row>
    <row r="476" spans="1:17" x14ac:dyDescent="0.3">
      <c r="A476" t="s">
        <v>554</v>
      </c>
      <c r="B476" s="1">
        <v>45315</v>
      </c>
      <c r="C476" t="s">
        <v>53</v>
      </c>
      <c r="D476" t="s">
        <v>19</v>
      </c>
      <c r="E476" t="s">
        <v>67</v>
      </c>
      <c r="F476" t="s">
        <v>29</v>
      </c>
      <c r="G476" t="s">
        <v>68</v>
      </c>
      <c r="H476">
        <v>1200</v>
      </c>
      <c r="I476">
        <v>11</v>
      </c>
      <c r="J476">
        <v>5</v>
      </c>
      <c r="K476">
        <v>5</v>
      </c>
      <c r="L476">
        <v>12540</v>
      </c>
      <c r="M476">
        <v>11417.7</v>
      </c>
      <c r="N476">
        <f t="shared" si="8"/>
        <v>1122.2999999999993</v>
      </c>
      <c r="O476" t="s">
        <v>23</v>
      </c>
      <c r="P476" t="s">
        <v>31</v>
      </c>
      <c r="Q476" t="s">
        <v>32</v>
      </c>
    </row>
    <row r="477" spans="1:17" x14ac:dyDescent="0.3">
      <c r="A477" t="s">
        <v>555</v>
      </c>
      <c r="B477" s="1">
        <v>45356</v>
      </c>
      <c r="C477" t="s">
        <v>34</v>
      </c>
      <c r="D477" t="s">
        <v>27</v>
      </c>
      <c r="E477" t="s">
        <v>45</v>
      </c>
      <c r="F477" t="s">
        <v>46</v>
      </c>
      <c r="G477" t="s">
        <v>47</v>
      </c>
      <c r="H477">
        <v>15000</v>
      </c>
      <c r="I477">
        <v>14</v>
      </c>
      <c r="J477">
        <v>15</v>
      </c>
      <c r="K477">
        <v>20</v>
      </c>
      <c r="L477">
        <v>178500</v>
      </c>
      <c r="M477">
        <v>172679.96</v>
      </c>
      <c r="N477">
        <f t="shared" si="8"/>
        <v>5820.0400000000081</v>
      </c>
      <c r="O477" t="s">
        <v>38</v>
      </c>
      <c r="P477" t="s">
        <v>31</v>
      </c>
      <c r="Q477" t="s">
        <v>39</v>
      </c>
    </row>
    <row r="478" spans="1:17" x14ac:dyDescent="0.3">
      <c r="A478" t="s">
        <v>556</v>
      </c>
      <c r="B478" s="1">
        <v>45401</v>
      </c>
      <c r="C478" t="s">
        <v>34</v>
      </c>
      <c r="D478" t="s">
        <v>41</v>
      </c>
      <c r="E478" t="s">
        <v>151</v>
      </c>
      <c r="F478" t="s">
        <v>141</v>
      </c>
      <c r="G478" t="s">
        <v>142</v>
      </c>
      <c r="H478">
        <v>3500</v>
      </c>
      <c r="I478">
        <v>4</v>
      </c>
      <c r="J478">
        <v>15</v>
      </c>
      <c r="K478">
        <v>0</v>
      </c>
      <c r="L478">
        <v>11900</v>
      </c>
      <c r="M478">
        <v>12470.54</v>
      </c>
      <c r="N478">
        <f t="shared" si="8"/>
        <v>-570.54000000000087</v>
      </c>
      <c r="O478" t="s">
        <v>23</v>
      </c>
      <c r="P478" t="s">
        <v>24</v>
      </c>
      <c r="Q478" t="s">
        <v>25</v>
      </c>
    </row>
    <row r="479" spans="1:17" x14ac:dyDescent="0.3">
      <c r="A479" t="s">
        <v>557</v>
      </c>
      <c r="B479" s="1">
        <v>45457</v>
      </c>
      <c r="C479" t="s">
        <v>18</v>
      </c>
      <c r="D479" t="s">
        <v>19</v>
      </c>
      <c r="E479" t="s">
        <v>71</v>
      </c>
      <c r="F479" t="s">
        <v>21</v>
      </c>
      <c r="G479" t="s">
        <v>72</v>
      </c>
      <c r="H479">
        <v>60000</v>
      </c>
      <c r="I479">
        <v>12</v>
      </c>
      <c r="J479">
        <v>5</v>
      </c>
      <c r="K479">
        <v>25</v>
      </c>
      <c r="L479">
        <v>684000</v>
      </c>
      <c r="M479">
        <v>581947.21</v>
      </c>
      <c r="N479">
        <f t="shared" si="8"/>
        <v>102052.79000000004</v>
      </c>
      <c r="O479" t="s">
        <v>38</v>
      </c>
      <c r="P479" t="s">
        <v>31</v>
      </c>
      <c r="Q479" t="s">
        <v>39</v>
      </c>
    </row>
    <row r="480" spans="1:17" x14ac:dyDescent="0.3">
      <c r="A480" t="s">
        <v>558</v>
      </c>
      <c r="B480" s="1">
        <v>45305</v>
      </c>
      <c r="C480" t="s">
        <v>53</v>
      </c>
      <c r="D480" t="s">
        <v>27</v>
      </c>
      <c r="E480" t="s">
        <v>155</v>
      </c>
      <c r="F480" t="s">
        <v>21</v>
      </c>
      <c r="G480" t="s">
        <v>72</v>
      </c>
      <c r="H480">
        <v>35000</v>
      </c>
      <c r="I480">
        <v>12</v>
      </c>
      <c r="J480">
        <v>10</v>
      </c>
      <c r="K480">
        <v>0</v>
      </c>
      <c r="L480">
        <v>378000</v>
      </c>
      <c r="M480">
        <v>321427.99</v>
      </c>
      <c r="N480">
        <f t="shared" si="8"/>
        <v>56572.010000000009</v>
      </c>
      <c r="O480" t="s">
        <v>23</v>
      </c>
      <c r="P480" t="s">
        <v>31</v>
      </c>
      <c r="Q480" t="s">
        <v>32</v>
      </c>
    </row>
    <row r="481" spans="1:17" x14ac:dyDescent="0.3">
      <c r="A481" t="s">
        <v>559</v>
      </c>
      <c r="B481" s="1">
        <v>45404</v>
      </c>
      <c r="C481" t="s">
        <v>18</v>
      </c>
      <c r="D481" t="s">
        <v>41</v>
      </c>
      <c r="E481" t="s">
        <v>90</v>
      </c>
      <c r="F481" t="s">
        <v>29</v>
      </c>
      <c r="G481" t="s">
        <v>37</v>
      </c>
      <c r="H481">
        <v>6500</v>
      </c>
      <c r="I481">
        <v>4</v>
      </c>
      <c r="J481">
        <v>5</v>
      </c>
      <c r="K481">
        <v>0</v>
      </c>
      <c r="L481">
        <v>24700</v>
      </c>
      <c r="M481">
        <v>21742.04</v>
      </c>
      <c r="N481">
        <f t="shared" si="8"/>
        <v>2957.9599999999991</v>
      </c>
      <c r="O481" t="s">
        <v>23</v>
      </c>
      <c r="P481" t="s">
        <v>31</v>
      </c>
      <c r="Q481" t="s">
        <v>32</v>
      </c>
    </row>
    <row r="482" spans="1:17" x14ac:dyDescent="0.3">
      <c r="A482" t="s">
        <v>560</v>
      </c>
      <c r="B482" s="1">
        <v>45366</v>
      </c>
      <c r="C482" t="s">
        <v>53</v>
      </c>
      <c r="D482" t="s">
        <v>27</v>
      </c>
      <c r="E482" t="s">
        <v>50</v>
      </c>
      <c r="F482" t="s">
        <v>21</v>
      </c>
      <c r="G482" t="s">
        <v>51</v>
      </c>
      <c r="H482">
        <v>4500</v>
      </c>
      <c r="I482">
        <v>9</v>
      </c>
      <c r="J482">
        <v>5</v>
      </c>
      <c r="K482">
        <v>15</v>
      </c>
      <c r="L482">
        <v>38475</v>
      </c>
      <c r="M482">
        <v>32954.19</v>
      </c>
      <c r="N482">
        <f t="shared" si="8"/>
        <v>5520.8099999999977</v>
      </c>
      <c r="O482" t="s">
        <v>38</v>
      </c>
      <c r="P482" t="s">
        <v>31</v>
      </c>
      <c r="Q482" t="s">
        <v>39</v>
      </c>
    </row>
    <row r="483" spans="1:17" x14ac:dyDescent="0.3">
      <c r="A483" t="s">
        <v>561</v>
      </c>
      <c r="B483" s="1">
        <v>45374</v>
      </c>
      <c r="C483" t="s">
        <v>49</v>
      </c>
      <c r="D483" t="s">
        <v>19</v>
      </c>
      <c r="E483" t="s">
        <v>36</v>
      </c>
      <c r="F483" t="s">
        <v>29</v>
      </c>
      <c r="G483" t="s">
        <v>37</v>
      </c>
      <c r="H483">
        <v>1200</v>
      </c>
      <c r="I483">
        <v>3</v>
      </c>
      <c r="J483">
        <v>10</v>
      </c>
      <c r="K483">
        <v>25</v>
      </c>
      <c r="L483">
        <v>3240</v>
      </c>
      <c r="M483">
        <v>3037.64</v>
      </c>
      <c r="N483">
        <f t="shared" si="8"/>
        <v>202.36000000000013</v>
      </c>
      <c r="O483" t="s">
        <v>38</v>
      </c>
      <c r="P483" t="s">
        <v>31</v>
      </c>
      <c r="Q483" t="s">
        <v>39</v>
      </c>
    </row>
    <row r="484" spans="1:17" x14ac:dyDescent="0.3">
      <c r="A484" t="s">
        <v>562</v>
      </c>
      <c r="B484" s="1">
        <v>45321</v>
      </c>
      <c r="C484" t="s">
        <v>53</v>
      </c>
      <c r="D484" t="s">
        <v>19</v>
      </c>
      <c r="E484" t="s">
        <v>71</v>
      </c>
      <c r="F484" t="s">
        <v>21</v>
      </c>
      <c r="G484" t="s">
        <v>72</v>
      </c>
      <c r="H484">
        <v>60000</v>
      </c>
      <c r="I484">
        <v>1</v>
      </c>
      <c r="J484">
        <v>10</v>
      </c>
      <c r="K484">
        <v>5</v>
      </c>
      <c r="L484">
        <v>54000</v>
      </c>
      <c r="M484">
        <v>46288.3</v>
      </c>
      <c r="N484">
        <f t="shared" si="8"/>
        <v>7711.6999999999971</v>
      </c>
      <c r="O484" t="s">
        <v>23</v>
      </c>
      <c r="P484" t="s">
        <v>31</v>
      </c>
      <c r="Q484" t="s">
        <v>32</v>
      </c>
    </row>
    <row r="485" spans="1:17" x14ac:dyDescent="0.3">
      <c r="A485" t="s">
        <v>563</v>
      </c>
      <c r="B485" s="1">
        <v>45451</v>
      </c>
      <c r="C485" t="s">
        <v>34</v>
      </c>
      <c r="D485" t="s">
        <v>19</v>
      </c>
      <c r="E485" t="s">
        <v>129</v>
      </c>
      <c r="F485" t="s">
        <v>21</v>
      </c>
      <c r="G485" t="s">
        <v>82</v>
      </c>
      <c r="H485">
        <v>3500</v>
      </c>
      <c r="I485">
        <v>4</v>
      </c>
      <c r="J485">
        <v>15</v>
      </c>
      <c r="K485">
        <v>25</v>
      </c>
      <c r="L485">
        <v>11900</v>
      </c>
      <c r="M485">
        <v>11243.89</v>
      </c>
      <c r="N485">
        <f t="shared" si="8"/>
        <v>656.11000000000058</v>
      </c>
      <c r="O485" t="s">
        <v>38</v>
      </c>
      <c r="P485" t="s">
        <v>31</v>
      </c>
      <c r="Q485" t="s">
        <v>39</v>
      </c>
    </row>
    <row r="486" spans="1:17" x14ac:dyDescent="0.3">
      <c r="A486" t="s">
        <v>564</v>
      </c>
      <c r="B486" s="1">
        <v>45421</v>
      </c>
      <c r="C486" t="s">
        <v>18</v>
      </c>
      <c r="D486" t="s">
        <v>19</v>
      </c>
      <c r="E486" t="s">
        <v>100</v>
      </c>
      <c r="F486" t="s">
        <v>46</v>
      </c>
      <c r="G486" t="s">
        <v>55</v>
      </c>
      <c r="H486">
        <v>2500</v>
      </c>
      <c r="I486">
        <v>13</v>
      </c>
      <c r="J486">
        <v>5</v>
      </c>
      <c r="K486">
        <v>0</v>
      </c>
      <c r="L486">
        <v>30875</v>
      </c>
      <c r="M486">
        <v>30317.74</v>
      </c>
      <c r="N486">
        <f t="shared" si="8"/>
        <v>557.2599999999984</v>
      </c>
      <c r="O486" t="s">
        <v>23</v>
      </c>
      <c r="P486" t="s">
        <v>31</v>
      </c>
      <c r="Q486" t="s">
        <v>32</v>
      </c>
    </row>
    <row r="487" spans="1:17" x14ac:dyDescent="0.3">
      <c r="A487" t="s">
        <v>565</v>
      </c>
      <c r="B487" s="1">
        <v>45434</v>
      </c>
      <c r="C487" t="s">
        <v>49</v>
      </c>
      <c r="D487" t="s">
        <v>19</v>
      </c>
      <c r="E487" t="s">
        <v>50</v>
      </c>
      <c r="F487" t="s">
        <v>21</v>
      </c>
      <c r="G487" t="s">
        <v>51</v>
      </c>
      <c r="H487">
        <v>4500</v>
      </c>
      <c r="I487">
        <v>7</v>
      </c>
      <c r="J487">
        <v>15</v>
      </c>
      <c r="K487">
        <v>25</v>
      </c>
      <c r="L487">
        <v>26775</v>
      </c>
      <c r="M487">
        <v>25244.639999999999</v>
      </c>
      <c r="N487">
        <f t="shared" si="8"/>
        <v>1530.3600000000006</v>
      </c>
      <c r="O487" t="s">
        <v>38</v>
      </c>
      <c r="P487" t="s">
        <v>31</v>
      </c>
      <c r="Q487" t="s">
        <v>39</v>
      </c>
    </row>
    <row r="488" spans="1:17" x14ac:dyDescent="0.3">
      <c r="A488" t="s">
        <v>566</v>
      </c>
      <c r="B488" s="1">
        <v>45378</v>
      </c>
      <c r="C488" t="s">
        <v>53</v>
      </c>
      <c r="D488" t="s">
        <v>92</v>
      </c>
      <c r="E488" t="s">
        <v>54</v>
      </c>
      <c r="F488" t="s">
        <v>46</v>
      </c>
      <c r="G488" t="s">
        <v>55</v>
      </c>
      <c r="H488">
        <v>4500</v>
      </c>
      <c r="I488">
        <v>13</v>
      </c>
      <c r="J488">
        <v>10</v>
      </c>
      <c r="K488">
        <v>25</v>
      </c>
      <c r="L488">
        <v>52650</v>
      </c>
      <c r="M488">
        <v>47787.03</v>
      </c>
      <c r="N488">
        <f t="shared" si="8"/>
        <v>4862.9700000000012</v>
      </c>
      <c r="O488" t="s">
        <v>38</v>
      </c>
      <c r="P488" t="s">
        <v>31</v>
      </c>
      <c r="Q488" t="s">
        <v>39</v>
      </c>
    </row>
    <row r="489" spans="1:17" x14ac:dyDescent="0.3">
      <c r="A489" t="s">
        <v>567</v>
      </c>
      <c r="B489" s="1">
        <v>45312</v>
      </c>
      <c r="C489" t="s">
        <v>18</v>
      </c>
      <c r="D489" t="s">
        <v>92</v>
      </c>
      <c r="E489" t="s">
        <v>100</v>
      </c>
      <c r="F489" t="s">
        <v>46</v>
      </c>
      <c r="G489" t="s">
        <v>55</v>
      </c>
      <c r="H489">
        <v>2500</v>
      </c>
      <c r="I489">
        <v>6</v>
      </c>
      <c r="J489">
        <v>5</v>
      </c>
      <c r="K489">
        <v>0</v>
      </c>
      <c r="L489">
        <v>14250</v>
      </c>
      <c r="M489">
        <v>14446.56</v>
      </c>
      <c r="N489">
        <f t="shared" si="8"/>
        <v>-196.55999999999949</v>
      </c>
      <c r="O489" t="s">
        <v>23</v>
      </c>
      <c r="P489" t="s">
        <v>24</v>
      </c>
      <c r="Q489" t="s">
        <v>25</v>
      </c>
    </row>
    <row r="490" spans="1:17" x14ac:dyDescent="0.3">
      <c r="A490" t="s">
        <v>568</v>
      </c>
      <c r="B490" s="1">
        <v>45403</v>
      </c>
      <c r="C490" t="s">
        <v>34</v>
      </c>
      <c r="D490" t="s">
        <v>19</v>
      </c>
      <c r="E490" t="s">
        <v>107</v>
      </c>
      <c r="F490" t="s">
        <v>108</v>
      </c>
      <c r="G490" t="s">
        <v>109</v>
      </c>
      <c r="H490">
        <v>18000</v>
      </c>
      <c r="I490">
        <v>8</v>
      </c>
      <c r="J490">
        <v>15</v>
      </c>
      <c r="K490">
        <v>20</v>
      </c>
      <c r="L490">
        <v>122400</v>
      </c>
      <c r="M490">
        <v>107784.41</v>
      </c>
      <c r="N490">
        <f t="shared" si="8"/>
        <v>14615.589999999997</v>
      </c>
      <c r="O490" t="s">
        <v>38</v>
      </c>
      <c r="P490" t="s">
        <v>31</v>
      </c>
      <c r="Q490" t="s">
        <v>39</v>
      </c>
    </row>
    <row r="491" spans="1:17" x14ac:dyDescent="0.3">
      <c r="A491" t="s">
        <v>569</v>
      </c>
      <c r="B491" s="1">
        <v>45400</v>
      </c>
      <c r="C491" t="s">
        <v>18</v>
      </c>
      <c r="D491" t="s">
        <v>92</v>
      </c>
      <c r="E491" t="s">
        <v>54</v>
      </c>
      <c r="F491" t="s">
        <v>46</v>
      </c>
      <c r="G491" t="s">
        <v>55</v>
      </c>
      <c r="H491">
        <v>4500</v>
      </c>
      <c r="I491">
        <v>1</v>
      </c>
      <c r="J491">
        <v>10</v>
      </c>
      <c r="K491">
        <v>20</v>
      </c>
      <c r="L491">
        <v>4050</v>
      </c>
      <c r="M491">
        <v>3629.14</v>
      </c>
      <c r="N491">
        <f t="shared" si="8"/>
        <v>420.86000000000013</v>
      </c>
      <c r="O491" t="s">
        <v>38</v>
      </c>
      <c r="P491" t="s">
        <v>31</v>
      </c>
      <c r="Q491" t="s">
        <v>39</v>
      </c>
    </row>
    <row r="492" spans="1:17" x14ac:dyDescent="0.3">
      <c r="A492" t="s">
        <v>570</v>
      </c>
      <c r="B492" s="1">
        <v>45372</v>
      </c>
      <c r="C492" t="s">
        <v>53</v>
      </c>
      <c r="D492" t="s">
        <v>41</v>
      </c>
      <c r="E492" t="s">
        <v>57</v>
      </c>
      <c r="F492" t="s">
        <v>46</v>
      </c>
      <c r="G492" t="s">
        <v>58</v>
      </c>
      <c r="H492">
        <v>18000</v>
      </c>
      <c r="I492">
        <v>13</v>
      </c>
      <c r="J492">
        <v>10</v>
      </c>
      <c r="K492">
        <v>15</v>
      </c>
      <c r="L492">
        <v>210600</v>
      </c>
      <c r="M492">
        <v>180553.93</v>
      </c>
      <c r="N492">
        <f t="shared" si="8"/>
        <v>30046.070000000007</v>
      </c>
      <c r="O492" t="s">
        <v>38</v>
      </c>
      <c r="P492" t="s">
        <v>31</v>
      </c>
      <c r="Q492" t="s">
        <v>39</v>
      </c>
    </row>
    <row r="493" spans="1:17" x14ac:dyDescent="0.3">
      <c r="A493" t="s">
        <v>571</v>
      </c>
      <c r="B493" s="1">
        <v>45404</v>
      </c>
      <c r="C493" t="s">
        <v>49</v>
      </c>
      <c r="D493" t="s">
        <v>35</v>
      </c>
      <c r="E493" t="s">
        <v>63</v>
      </c>
      <c r="F493" t="s">
        <v>64</v>
      </c>
      <c r="G493" t="s">
        <v>65</v>
      </c>
      <c r="H493">
        <v>4000</v>
      </c>
      <c r="I493">
        <v>7</v>
      </c>
      <c r="J493">
        <v>5</v>
      </c>
      <c r="K493">
        <v>5</v>
      </c>
      <c r="L493">
        <v>26600</v>
      </c>
      <c r="M493">
        <v>26584.61</v>
      </c>
      <c r="N493">
        <f t="shared" si="8"/>
        <v>15.389999999999418</v>
      </c>
      <c r="O493" t="s">
        <v>23</v>
      </c>
      <c r="P493" t="s">
        <v>31</v>
      </c>
      <c r="Q493" t="s">
        <v>32</v>
      </c>
    </row>
    <row r="494" spans="1:17" x14ac:dyDescent="0.3">
      <c r="A494" t="s">
        <v>572</v>
      </c>
      <c r="B494" s="1">
        <v>45343</v>
      </c>
      <c r="C494" t="s">
        <v>18</v>
      </c>
      <c r="D494" t="s">
        <v>41</v>
      </c>
      <c r="E494" t="s">
        <v>81</v>
      </c>
      <c r="F494" t="s">
        <v>21</v>
      </c>
      <c r="G494" t="s">
        <v>82</v>
      </c>
      <c r="H494">
        <v>8000</v>
      </c>
      <c r="I494">
        <v>3</v>
      </c>
      <c r="J494">
        <v>5</v>
      </c>
      <c r="K494">
        <v>10</v>
      </c>
      <c r="L494">
        <v>22800</v>
      </c>
      <c r="M494">
        <v>19949.32</v>
      </c>
      <c r="N494">
        <f t="shared" si="8"/>
        <v>2850.6800000000003</v>
      </c>
      <c r="O494" t="s">
        <v>38</v>
      </c>
      <c r="P494" t="s">
        <v>31</v>
      </c>
      <c r="Q494" t="s">
        <v>39</v>
      </c>
    </row>
    <row r="495" spans="1:17" x14ac:dyDescent="0.3">
      <c r="A495" t="s">
        <v>573</v>
      </c>
      <c r="B495" s="1">
        <v>45385</v>
      </c>
      <c r="C495" t="s">
        <v>34</v>
      </c>
      <c r="D495" t="s">
        <v>27</v>
      </c>
      <c r="E495" t="s">
        <v>20</v>
      </c>
      <c r="F495" t="s">
        <v>21</v>
      </c>
      <c r="G495" t="s">
        <v>22</v>
      </c>
      <c r="H495">
        <v>6000</v>
      </c>
      <c r="I495">
        <v>2</v>
      </c>
      <c r="J495">
        <v>10</v>
      </c>
      <c r="K495">
        <v>25</v>
      </c>
      <c r="L495">
        <v>10800</v>
      </c>
      <c r="M495">
        <v>11328.22</v>
      </c>
      <c r="N495">
        <f t="shared" si="8"/>
        <v>-528.21999999999935</v>
      </c>
      <c r="O495" t="s">
        <v>38</v>
      </c>
      <c r="P495" t="s">
        <v>24</v>
      </c>
      <c r="Q495" t="s">
        <v>39</v>
      </c>
    </row>
    <row r="496" spans="1:17" x14ac:dyDescent="0.3">
      <c r="A496" t="s">
        <v>574</v>
      </c>
      <c r="B496" s="1">
        <v>45447</v>
      </c>
      <c r="C496" t="s">
        <v>34</v>
      </c>
      <c r="D496" t="s">
        <v>41</v>
      </c>
      <c r="E496" t="s">
        <v>81</v>
      </c>
      <c r="F496" t="s">
        <v>21</v>
      </c>
      <c r="G496" t="s">
        <v>82</v>
      </c>
      <c r="H496">
        <v>8000</v>
      </c>
      <c r="I496">
        <v>5</v>
      </c>
      <c r="J496">
        <v>15</v>
      </c>
      <c r="K496">
        <v>25</v>
      </c>
      <c r="L496">
        <v>34000</v>
      </c>
      <c r="M496">
        <v>29657.35</v>
      </c>
      <c r="N496">
        <f t="shared" si="8"/>
        <v>4342.6500000000015</v>
      </c>
      <c r="O496" t="s">
        <v>38</v>
      </c>
      <c r="P496" t="s">
        <v>31</v>
      </c>
      <c r="Q496" t="s">
        <v>39</v>
      </c>
    </row>
    <row r="497" spans="1:17" x14ac:dyDescent="0.3">
      <c r="A497" t="s">
        <v>575</v>
      </c>
      <c r="B497" s="1">
        <v>45390</v>
      </c>
      <c r="C497" t="s">
        <v>49</v>
      </c>
      <c r="D497" t="s">
        <v>70</v>
      </c>
      <c r="E497" t="s">
        <v>28</v>
      </c>
      <c r="F497" t="s">
        <v>29</v>
      </c>
      <c r="G497" t="s">
        <v>30</v>
      </c>
      <c r="H497">
        <v>1800</v>
      </c>
      <c r="I497">
        <v>9</v>
      </c>
      <c r="J497">
        <v>15</v>
      </c>
      <c r="K497">
        <v>20</v>
      </c>
      <c r="L497">
        <v>13770</v>
      </c>
      <c r="M497">
        <v>12620.17</v>
      </c>
      <c r="N497">
        <f t="shared" si="8"/>
        <v>1149.83</v>
      </c>
      <c r="O497" t="s">
        <v>38</v>
      </c>
      <c r="P497" t="s">
        <v>31</v>
      </c>
      <c r="Q497" t="s">
        <v>39</v>
      </c>
    </row>
    <row r="498" spans="1:17" x14ac:dyDescent="0.3">
      <c r="A498" t="s">
        <v>576</v>
      </c>
      <c r="B498" s="1">
        <v>45399</v>
      </c>
      <c r="C498" t="s">
        <v>49</v>
      </c>
      <c r="D498" t="s">
        <v>35</v>
      </c>
      <c r="E498" t="s">
        <v>107</v>
      </c>
      <c r="F498" t="s">
        <v>108</v>
      </c>
      <c r="G498" t="s">
        <v>109</v>
      </c>
      <c r="H498">
        <v>18000</v>
      </c>
      <c r="I498">
        <v>10</v>
      </c>
      <c r="J498">
        <v>5</v>
      </c>
      <c r="K498">
        <v>10</v>
      </c>
      <c r="L498">
        <v>171000</v>
      </c>
      <c r="M498">
        <v>171573.99</v>
      </c>
      <c r="N498">
        <f t="shared" si="8"/>
        <v>-573.98999999999069</v>
      </c>
      <c r="O498" t="s">
        <v>38</v>
      </c>
      <c r="P498" t="s">
        <v>24</v>
      </c>
      <c r="Q498" t="s">
        <v>39</v>
      </c>
    </row>
    <row r="499" spans="1:17" x14ac:dyDescent="0.3">
      <c r="A499" t="s">
        <v>577</v>
      </c>
      <c r="B499" s="1">
        <v>45418</v>
      </c>
      <c r="C499" t="s">
        <v>34</v>
      </c>
      <c r="D499" t="s">
        <v>19</v>
      </c>
      <c r="E499" t="s">
        <v>90</v>
      </c>
      <c r="F499" t="s">
        <v>29</v>
      </c>
      <c r="G499" t="s">
        <v>37</v>
      </c>
      <c r="H499">
        <v>6500</v>
      </c>
      <c r="I499">
        <v>6</v>
      </c>
      <c r="J499">
        <v>5</v>
      </c>
      <c r="K499">
        <v>20</v>
      </c>
      <c r="L499">
        <v>37050</v>
      </c>
      <c r="M499">
        <v>33849.03</v>
      </c>
      <c r="N499">
        <f t="shared" si="8"/>
        <v>3200.9700000000012</v>
      </c>
      <c r="O499" t="s">
        <v>38</v>
      </c>
      <c r="P499" t="s">
        <v>31</v>
      </c>
      <c r="Q499" t="s">
        <v>39</v>
      </c>
    </row>
    <row r="500" spans="1:17" x14ac:dyDescent="0.3">
      <c r="A500" t="s">
        <v>578</v>
      </c>
      <c r="B500" s="1">
        <v>45339</v>
      </c>
      <c r="C500" t="s">
        <v>18</v>
      </c>
      <c r="D500" t="s">
        <v>70</v>
      </c>
      <c r="E500" t="s">
        <v>75</v>
      </c>
      <c r="F500" t="s">
        <v>76</v>
      </c>
      <c r="G500" t="s">
        <v>77</v>
      </c>
      <c r="H500">
        <v>8000</v>
      </c>
      <c r="I500">
        <v>12</v>
      </c>
      <c r="J500">
        <v>10</v>
      </c>
      <c r="K500">
        <v>20</v>
      </c>
      <c r="L500">
        <v>86400</v>
      </c>
      <c r="M500">
        <v>74289.86</v>
      </c>
      <c r="N500">
        <f t="shared" si="8"/>
        <v>12110.14</v>
      </c>
      <c r="O500" t="s">
        <v>38</v>
      </c>
      <c r="P500" t="s">
        <v>31</v>
      </c>
      <c r="Q500" t="s">
        <v>39</v>
      </c>
    </row>
    <row r="501" spans="1:17" x14ac:dyDescent="0.3">
      <c r="A501" t="s">
        <v>579</v>
      </c>
      <c r="B501" s="1">
        <v>45424</v>
      </c>
      <c r="C501" t="s">
        <v>34</v>
      </c>
      <c r="D501" t="s">
        <v>35</v>
      </c>
      <c r="E501" t="s">
        <v>61</v>
      </c>
      <c r="F501" t="s">
        <v>29</v>
      </c>
      <c r="G501" t="s">
        <v>43</v>
      </c>
      <c r="H501">
        <v>2800</v>
      </c>
      <c r="I501">
        <v>13</v>
      </c>
      <c r="J501">
        <v>5</v>
      </c>
      <c r="K501">
        <v>5</v>
      </c>
      <c r="L501">
        <v>34580</v>
      </c>
      <c r="M501">
        <v>31100.46</v>
      </c>
      <c r="N501">
        <f t="shared" si="8"/>
        <v>3479.5400000000009</v>
      </c>
      <c r="O501" t="s">
        <v>23</v>
      </c>
      <c r="P501" t="s">
        <v>31</v>
      </c>
      <c r="Q501" t="s">
        <v>32</v>
      </c>
    </row>
    <row r="502" spans="1:17" x14ac:dyDescent="0.3">
      <c r="A502" t="s">
        <v>580</v>
      </c>
      <c r="B502" s="1">
        <v>45384</v>
      </c>
      <c r="C502" t="s">
        <v>18</v>
      </c>
      <c r="D502" t="s">
        <v>19</v>
      </c>
      <c r="E502" t="s">
        <v>45</v>
      </c>
      <c r="F502" t="s">
        <v>46</v>
      </c>
      <c r="G502" t="s">
        <v>47</v>
      </c>
      <c r="H502">
        <v>15000</v>
      </c>
      <c r="I502">
        <v>7</v>
      </c>
      <c r="J502">
        <v>5</v>
      </c>
      <c r="K502">
        <v>10</v>
      </c>
      <c r="L502">
        <v>99750</v>
      </c>
      <c r="M502">
        <v>96056.29</v>
      </c>
      <c r="N502">
        <f t="shared" si="8"/>
        <v>3693.7100000000064</v>
      </c>
      <c r="O502" t="s">
        <v>38</v>
      </c>
      <c r="P502" t="s">
        <v>31</v>
      </c>
      <c r="Q502" t="s">
        <v>39</v>
      </c>
    </row>
    <row r="503" spans="1:17" x14ac:dyDescent="0.3">
      <c r="A503" t="s">
        <v>581</v>
      </c>
      <c r="B503" s="1">
        <v>45374</v>
      </c>
      <c r="C503" t="s">
        <v>34</v>
      </c>
      <c r="D503" t="s">
        <v>27</v>
      </c>
      <c r="E503" t="s">
        <v>151</v>
      </c>
      <c r="F503" t="s">
        <v>141</v>
      </c>
      <c r="G503" t="s">
        <v>142</v>
      </c>
      <c r="H503">
        <v>3500</v>
      </c>
      <c r="I503">
        <v>8</v>
      </c>
      <c r="J503">
        <v>5</v>
      </c>
      <c r="K503">
        <v>10</v>
      </c>
      <c r="L503">
        <v>26600</v>
      </c>
      <c r="M503">
        <v>26603.64</v>
      </c>
      <c r="N503">
        <f t="shared" si="8"/>
        <v>-3.6399999999994179</v>
      </c>
      <c r="O503" t="s">
        <v>38</v>
      </c>
      <c r="P503" t="s">
        <v>24</v>
      </c>
      <c r="Q503" t="s">
        <v>39</v>
      </c>
    </row>
    <row r="504" spans="1:17" x14ac:dyDescent="0.3">
      <c r="A504" t="s">
        <v>582</v>
      </c>
      <c r="B504" s="1">
        <v>45346</v>
      </c>
      <c r="C504" t="s">
        <v>53</v>
      </c>
      <c r="D504" t="s">
        <v>92</v>
      </c>
      <c r="E504" t="s">
        <v>151</v>
      </c>
      <c r="F504" t="s">
        <v>141</v>
      </c>
      <c r="G504" t="s">
        <v>142</v>
      </c>
      <c r="H504">
        <v>3500</v>
      </c>
      <c r="I504">
        <v>5</v>
      </c>
      <c r="J504">
        <v>10</v>
      </c>
      <c r="K504">
        <v>25</v>
      </c>
      <c r="L504">
        <v>15750</v>
      </c>
      <c r="M504">
        <v>15413.65</v>
      </c>
      <c r="N504">
        <f t="shared" si="8"/>
        <v>336.35000000000036</v>
      </c>
      <c r="O504" t="s">
        <v>38</v>
      </c>
      <c r="P504" t="s">
        <v>31</v>
      </c>
      <c r="Q504" t="s">
        <v>39</v>
      </c>
    </row>
    <row r="505" spans="1:17" x14ac:dyDescent="0.3">
      <c r="A505" t="s">
        <v>583</v>
      </c>
      <c r="B505" s="1">
        <v>45311</v>
      </c>
      <c r="C505" t="s">
        <v>18</v>
      </c>
      <c r="D505" t="s">
        <v>41</v>
      </c>
      <c r="E505" t="s">
        <v>50</v>
      </c>
      <c r="F505" t="s">
        <v>21</v>
      </c>
      <c r="G505" t="s">
        <v>51</v>
      </c>
      <c r="H505">
        <v>4500</v>
      </c>
      <c r="I505">
        <v>4</v>
      </c>
      <c r="J505">
        <v>15</v>
      </c>
      <c r="K505">
        <v>10</v>
      </c>
      <c r="L505">
        <v>15300</v>
      </c>
      <c r="M505">
        <v>15808.07</v>
      </c>
      <c r="N505">
        <f t="shared" si="8"/>
        <v>-508.06999999999971</v>
      </c>
      <c r="O505" t="s">
        <v>23</v>
      </c>
      <c r="P505" t="s">
        <v>24</v>
      </c>
      <c r="Q505" t="s">
        <v>25</v>
      </c>
    </row>
    <row r="506" spans="1:17" x14ac:dyDescent="0.3">
      <c r="A506" t="s">
        <v>584</v>
      </c>
      <c r="B506" s="1">
        <v>45317</v>
      </c>
      <c r="C506" t="s">
        <v>49</v>
      </c>
      <c r="D506" t="s">
        <v>70</v>
      </c>
      <c r="E506" t="s">
        <v>63</v>
      </c>
      <c r="F506" t="s">
        <v>64</v>
      </c>
      <c r="G506" t="s">
        <v>65</v>
      </c>
      <c r="H506">
        <v>4000</v>
      </c>
      <c r="I506">
        <v>1</v>
      </c>
      <c r="J506">
        <v>10</v>
      </c>
      <c r="K506">
        <v>0</v>
      </c>
      <c r="L506">
        <v>3600</v>
      </c>
      <c r="M506">
        <v>3543.02</v>
      </c>
      <c r="N506">
        <f t="shared" si="8"/>
        <v>56.980000000000018</v>
      </c>
      <c r="O506" t="s">
        <v>23</v>
      </c>
      <c r="P506" t="s">
        <v>31</v>
      </c>
      <c r="Q506" t="s">
        <v>32</v>
      </c>
    </row>
    <row r="507" spans="1:17" x14ac:dyDescent="0.3">
      <c r="A507" t="s">
        <v>585</v>
      </c>
      <c r="B507" s="1">
        <v>45329</v>
      </c>
      <c r="C507" t="s">
        <v>34</v>
      </c>
      <c r="D507" t="s">
        <v>27</v>
      </c>
      <c r="E507" t="s">
        <v>36</v>
      </c>
      <c r="F507" t="s">
        <v>29</v>
      </c>
      <c r="G507" t="s">
        <v>37</v>
      </c>
      <c r="H507">
        <v>1200</v>
      </c>
      <c r="I507">
        <v>15</v>
      </c>
      <c r="J507">
        <v>15</v>
      </c>
      <c r="K507">
        <v>10</v>
      </c>
      <c r="L507">
        <v>15300</v>
      </c>
      <c r="M507">
        <v>15387.29</v>
      </c>
      <c r="N507">
        <f t="shared" si="8"/>
        <v>-87.290000000000873</v>
      </c>
      <c r="O507" t="s">
        <v>23</v>
      </c>
      <c r="P507" t="s">
        <v>24</v>
      </c>
      <c r="Q507" t="s">
        <v>25</v>
      </c>
    </row>
    <row r="508" spans="1:17" x14ac:dyDescent="0.3">
      <c r="A508" t="s">
        <v>586</v>
      </c>
      <c r="B508" s="1">
        <v>45319</v>
      </c>
      <c r="C508" t="s">
        <v>53</v>
      </c>
      <c r="D508" t="s">
        <v>27</v>
      </c>
      <c r="E508" t="s">
        <v>107</v>
      </c>
      <c r="F508" t="s">
        <v>108</v>
      </c>
      <c r="G508" t="s">
        <v>109</v>
      </c>
      <c r="H508">
        <v>18000</v>
      </c>
      <c r="I508">
        <v>4</v>
      </c>
      <c r="J508">
        <v>10</v>
      </c>
      <c r="K508">
        <v>10</v>
      </c>
      <c r="L508">
        <v>64800</v>
      </c>
      <c r="M508">
        <v>64147.57</v>
      </c>
      <c r="N508">
        <f t="shared" si="8"/>
        <v>652.43000000000029</v>
      </c>
      <c r="O508" t="s">
        <v>23</v>
      </c>
      <c r="P508" t="s">
        <v>31</v>
      </c>
      <c r="Q508" t="s">
        <v>32</v>
      </c>
    </row>
    <row r="509" spans="1:17" x14ac:dyDescent="0.3">
      <c r="A509" t="s">
        <v>587</v>
      </c>
      <c r="B509" s="1">
        <v>45361</v>
      </c>
      <c r="C509" t="s">
        <v>18</v>
      </c>
      <c r="D509" t="s">
        <v>70</v>
      </c>
      <c r="E509" t="s">
        <v>140</v>
      </c>
      <c r="F509" t="s">
        <v>141</v>
      </c>
      <c r="G509" t="s">
        <v>142</v>
      </c>
      <c r="H509">
        <v>12000</v>
      </c>
      <c r="I509">
        <v>13</v>
      </c>
      <c r="J509">
        <v>15</v>
      </c>
      <c r="K509">
        <v>10</v>
      </c>
      <c r="L509">
        <v>132600</v>
      </c>
      <c r="M509">
        <v>135615.07</v>
      </c>
      <c r="N509">
        <f t="shared" si="8"/>
        <v>-3015.070000000007</v>
      </c>
      <c r="O509" t="s">
        <v>23</v>
      </c>
      <c r="P509" t="s">
        <v>24</v>
      </c>
      <c r="Q509" t="s">
        <v>25</v>
      </c>
    </row>
    <row r="510" spans="1:17" x14ac:dyDescent="0.3">
      <c r="A510" t="s">
        <v>588</v>
      </c>
      <c r="B510" s="1">
        <v>45401</v>
      </c>
      <c r="C510" t="s">
        <v>34</v>
      </c>
      <c r="D510" t="s">
        <v>92</v>
      </c>
      <c r="E510" t="s">
        <v>100</v>
      </c>
      <c r="F510" t="s">
        <v>46</v>
      </c>
      <c r="G510" t="s">
        <v>55</v>
      </c>
      <c r="H510">
        <v>2500</v>
      </c>
      <c r="I510">
        <v>12</v>
      </c>
      <c r="J510">
        <v>15</v>
      </c>
      <c r="K510">
        <v>20</v>
      </c>
      <c r="L510">
        <v>25500</v>
      </c>
      <c r="M510">
        <v>22541.96</v>
      </c>
      <c r="N510">
        <f t="shared" si="8"/>
        <v>2958.0400000000009</v>
      </c>
      <c r="O510" t="s">
        <v>38</v>
      </c>
      <c r="P510" t="s">
        <v>31</v>
      </c>
      <c r="Q510" t="s">
        <v>39</v>
      </c>
    </row>
    <row r="511" spans="1:17" x14ac:dyDescent="0.3">
      <c r="A511" t="s">
        <v>589</v>
      </c>
      <c r="B511" s="1">
        <v>45355</v>
      </c>
      <c r="C511" t="s">
        <v>34</v>
      </c>
      <c r="D511" t="s">
        <v>41</v>
      </c>
      <c r="E511" t="s">
        <v>50</v>
      </c>
      <c r="F511" t="s">
        <v>21</v>
      </c>
      <c r="G511" t="s">
        <v>51</v>
      </c>
      <c r="H511">
        <v>4500</v>
      </c>
      <c r="I511">
        <v>6</v>
      </c>
      <c r="J511">
        <v>5</v>
      </c>
      <c r="K511">
        <v>15</v>
      </c>
      <c r="L511">
        <v>25650</v>
      </c>
      <c r="M511">
        <v>22176.82</v>
      </c>
      <c r="N511">
        <f t="shared" si="8"/>
        <v>3473.1800000000003</v>
      </c>
      <c r="O511" t="s">
        <v>38</v>
      </c>
      <c r="P511" t="s">
        <v>31</v>
      </c>
      <c r="Q511" t="s">
        <v>39</v>
      </c>
    </row>
    <row r="512" spans="1:17" x14ac:dyDescent="0.3">
      <c r="A512" t="s">
        <v>590</v>
      </c>
      <c r="B512" s="1">
        <v>45384</v>
      </c>
      <c r="C512" t="s">
        <v>18</v>
      </c>
      <c r="D512" t="s">
        <v>19</v>
      </c>
      <c r="E512" t="s">
        <v>75</v>
      </c>
      <c r="F512" t="s">
        <v>76</v>
      </c>
      <c r="G512" t="s">
        <v>77</v>
      </c>
      <c r="H512">
        <v>8000</v>
      </c>
      <c r="I512">
        <v>7</v>
      </c>
      <c r="J512">
        <v>10</v>
      </c>
      <c r="K512">
        <v>10</v>
      </c>
      <c r="L512">
        <v>50400</v>
      </c>
      <c r="M512">
        <v>44248.81</v>
      </c>
      <c r="N512">
        <f t="shared" si="8"/>
        <v>6151.1900000000023</v>
      </c>
      <c r="O512" t="s">
        <v>23</v>
      </c>
      <c r="P512" t="s">
        <v>31</v>
      </c>
      <c r="Q512" t="s">
        <v>32</v>
      </c>
    </row>
    <row r="513" spans="1:17" x14ac:dyDescent="0.3">
      <c r="A513" t="s">
        <v>591</v>
      </c>
      <c r="B513" s="1">
        <v>45342</v>
      </c>
      <c r="C513" t="s">
        <v>49</v>
      </c>
      <c r="D513" t="s">
        <v>35</v>
      </c>
      <c r="E513" t="s">
        <v>36</v>
      </c>
      <c r="F513" t="s">
        <v>29</v>
      </c>
      <c r="G513" t="s">
        <v>37</v>
      </c>
      <c r="H513">
        <v>1200</v>
      </c>
      <c r="I513">
        <v>9</v>
      </c>
      <c r="J513">
        <v>15</v>
      </c>
      <c r="K513">
        <v>0</v>
      </c>
      <c r="L513">
        <v>9180</v>
      </c>
      <c r="M513">
        <v>9517.99</v>
      </c>
      <c r="N513">
        <f t="shared" si="8"/>
        <v>-337.98999999999978</v>
      </c>
      <c r="O513" t="s">
        <v>23</v>
      </c>
      <c r="P513" t="s">
        <v>24</v>
      </c>
      <c r="Q513" t="s">
        <v>25</v>
      </c>
    </row>
    <row r="514" spans="1:17" x14ac:dyDescent="0.3">
      <c r="A514" t="s">
        <v>592</v>
      </c>
      <c r="B514" s="1">
        <v>45339</v>
      </c>
      <c r="C514" t="s">
        <v>34</v>
      </c>
      <c r="D514" t="s">
        <v>35</v>
      </c>
      <c r="E514" t="s">
        <v>167</v>
      </c>
      <c r="F514" t="s">
        <v>21</v>
      </c>
      <c r="G514" t="s">
        <v>82</v>
      </c>
      <c r="H514">
        <v>7000</v>
      </c>
      <c r="I514">
        <v>4</v>
      </c>
      <c r="J514">
        <v>10</v>
      </c>
      <c r="K514">
        <v>25</v>
      </c>
      <c r="L514">
        <v>25200</v>
      </c>
      <c r="M514">
        <v>22775.200000000001</v>
      </c>
      <c r="N514">
        <f t="shared" si="8"/>
        <v>2424.7999999999993</v>
      </c>
      <c r="O514" t="s">
        <v>38</v>
      </c>
      <c r="P514" t="s">
        <v>31</v>
      </c>
      <c r="Q514" t="s">
        <v>39</v>
      </c>
    </row>
    <row r="515" spans="1:17" x14ac:dyDescent="0.3">
      <c r="A515" t="s">
        <v>593</v>
      </c>
      <c r="B515" s="1">
        <v>45426</v>
      </c>
      <c r="C515" t="s">
        <v>49</v>
      </c>
      <c r="D515" t="s">
        <v>35</v>
      </c>
      <c r="E515" t="s">
        <v>67</v>
      </c>
      <c r="F515" t="s">
        <v>29</v>
      </c>
      <c r="G515" t="s">
        <v>68</v>
      </c>
      <c r="H515">
        <v>1200</v>
      </c>
      <c r="I515">
        <v>4</v>
      </c>
      <c r="J515">
        <v>5</v>
      </c>
      <c r="K515">
        <v>20</v>
      </c>
      <c r="L515">
        <v>4560</v>
      </c>
      <c r="M515">
        <v>3949.21</v>
      </c>
      <c r="N515">
        <f t="shared" ref="N515:N578" si="9">L515-M515</f>
        <v>610.79</v>
      </c>
      <c r="O515" t="s">
        <v>38</v>
      </c>
      <c r="P515" t="s">
        <v>31</v>
      </c>
      <c r="Q515" t="s">
        <v>39</v>
      </c>
    </row>
    <row r="516" spans="1:17" x14ac:dyDescent="0.3">
      <c r="A516" t="s">
        <v>594</v>
      </c>
      <c r="B516" s="1">
        <v>45453</v>
      </c>
      <c r="C516" t="s">
        <v>34</v>
      </c>
      <c r="D516" t="s">
        <v>35</v>
      </c>
      <c r="E516" t="s">
        <v>129</v>
      </c>
      <c r="F516" t="s">
        <v>21</v>
      </c>
      <c r="G516" t="s">
        <v>82</v>
      </c>
      <c r="H516">
        <v>3500</v>
      </c>
      <c r="I516">
        <v>12</v>
      </c>
      <c r="J516">
        <v>10</v>
      </c>
      <c r="K516">
        <v>10</v>
      </c>
      <c r="L516">
        <v>37800</v>
      </c>
      <c r="M516">
        <v>38884.22</v>
      </c>
      <c r="N516">
        <f t="shared" si="9"/>
        <v>-1084.2200000000012</v>
      </c>
      <c r="O516" t="s">
        <v>23</v>
      </c>
      <c r="P516" t="s">
        <v>24</v>
      </c>
      <c r="Q516" t="s">
        <v>25</v>
      </c>
    </row>
    <row r="517" spans="1:17" x14ac:dyDescent="0.3">
      <c r="A517" t="s">
        <v>595</v>
      </c>
      <c r="B517" s="1">
        <v>45413</v>
      </c>
      <c r="C517" t="s">
        <v>53</v>
      </c>
      <c r="D517" t="s">
        <v>41</v>
      </c>
      <c r="E517" t="s">
        <v>81</v>
      </c>
      <c r="F517" t="s">
        <v>21</v>
      </c>
      <c r="G517" t="s">
        <v>82</v>
      </c>
      <c r="H517">
        <v>8000</v>
      </c>
      <c r="I517">
        <v>11</v>
      </c>
      <c r="J517">
        <v>5</v>
      </c>
      <c r="K517">
        <v>5</v>
      </c>
      <c r="L517">
        <v>83600</v>
      </c>
      <c r="M517">
        <v>75493.56</v>
      </c>
      <c r="N517">
        <f t="shared" si="9"/>
        <v>8106.4400000000023</v>
      </c>
      <c r="O517" t="s">
        <v>23</v>
      </c>
      <c r="P517" t="s">
        <v>31</v>
      </c>
      <c r="Q517" t="s">
        <v>32</v>
      </c>
    </row>
    <row r="518" spans="1:17" x14ac:dyDescent="0.3">
      <c r="A518" t="s">
        <v>596</v>
      </c>
      <c r="B518" s="1">
        <v>45450</v>
      </c>
      <c r="C518" t="s">
        <v>49</v>
      </c>
      <c r="D518" t="s">
        <v>19</v>
      </c>
      <c r="E518" t="s">
        <v>129</v>
      </c>
      <c r="F518" t="s">
        <v>21</v>
      </c>
      <c r="G518" t="s">
        <v>82</v>
      </c>
      <c r="H518">
        <v>3500</v>
      </c>
      <c r="I518">
        <v>14</v>
      </c>
      <c r="J518">
        <v>15</v>
      </c>
      <c r="K518">
        <v>20</v>
      </c>
      <c r="L518">
        <v>41650</v>
      </c>
      <c r="M518">
        <v>39752.269999999997</v>
      </c>
      <c r="N518">
        <f t="shared" si="9"/>
        <v>1897.7300000000032</v>
      </c>
      <c r="O518" t="s">
        <v>38</v>
      </c>
      <c r="P518" t="s">
        <v>31</v>
      </c>
      <c r="Q518" t="s">
        <v>39</v>
      </c>
    </row>
    <row r="519" spans="1:17" x14ac:dyDescent="0.3">
      <c r="A519" t="s">
        <v>597</v>
      </c>
      <c r="B519" s="1">
        <v>45330</v>
      </c>
      <c r="C519" t="s">
        <v>34</v>
      </c>
      <c r="D519" t="s">
        <v>41</v>
      </c>
      <c r="E519" t="s">
        <v>107</v>
      </c>
      <c r="F519" t="s">
        <v>108</v>
      </c>
      <c r="G519" t="s">
        <v>109</v>
      </c>
      <c r="H519">
        <v>18000</v>
      </c>
      <c r="I519">
        <v>7</v>
      </c>
      <c r="J519">
        <v>10</v>
      </c>
      <c r="K519">
        <v>20</v>
      </c>
      <c r="L519">
        <v>113400</v>
      </c>
      <c r="M519">
        <v>106221.69</v>
      </c>
      <c r="N519">
        <f t="shared" si="9"/>
        <v>7178.3099999999977</v>
      </c>
      <c r="O519" t="s">
        <v>38</v>
      </c>
      <c r="P519" t="s">
        <v>31</v>
      </c>
      <c r="Q519" t="s">
        <v>39</v>
      </c>
    </row>
    <row r="520" spans="1:17" x14ac:dyDescent="0.3">
      <c r="A520" t="s">
        <v>598</v>
      </c>
      <c r="B520" s="1">
        <v>45329</v>
      </c>
      <c r="C520" t="s">
        <v>34</v>
      </c>
      <c r="D520" t="s">
        <v>70</v>
      </c>
      <c r="E520" t="s">
        <v>28</v>
      </c>
      <c r="F520" t="s">
        <v>29</v>
      </c>
      <c r="G520" t="s">
        <v>30</v>
      </c>
      <c r="H520">
        <v>1800</v>
      </c>
      <c r="I520">
        <v>5</v>
      </c>
      <c r="J520">
        <v>10</v>
      </c>
      <c r="K520">
        <v>15</v>
      </c>
      <c r="L520">
        <v>8100</v>
      </c>
      <c r="M520">
        <v>7450.12</v>
      </c>
      <c r="N520">
        <f t="shared" si="9"/>
        <v>649.88000000000011</v>
      </c>
      <c r="O520" t="s">
        <v>38</v>
      </c>
      <c r="P520" t="s">
        <v>31</v>
      </c>
      <c r="Q520" t="s">
        <v>39</v>
      </c>
    </row>
    <row r="521" spans="1:17" x14ac:dyDescent="0.3">
      <c r="A521" t="s">
        <v>599</v>
      </c>
      <c r="B521" s="1">
        <v>45461</v>
      </c>
      <c r="C521" t="s">
        <v>18</v>
      </c>
      <c r="D521" t="s">
        <v>19</v>
      </c>
      <c r="E521" t="s">
        <v>107</v>
      </c>
      <c r="F521" t="s">
        <v>108</v>
      </c>
      <c r="G521" t="s">
        <v>109</v>
      </c>
      <c r="H521">
        <v>18000</v>
      </c>
      <c r="I521">
        <v>10</v>
      </c>
      <c r="J521">
        <v>5</v>
      </c>
      <c r="K521">
        <v>15</v>
      </c>
      <c r="L521">
        <v>171000</v>
      </c>
      <c r="M521">
        <v>159694.67000000001</v>
      </c>
      <c r="N521">
        <f t="shared" si="9"/>
        <v>11305.329999999987</v>
      </c>
      <c r="O521" t="s">
        <v>38</v>
      </c>
      <c r="P521" t="s">
        <v>31</v>
      </c>
      <c r="Q521" t="s">
        <v>39</v>
      </c>
    </row>
    <row r="522" spans="1:17" x14ac:dyDescent="0.3">
      <c r="A522" t="s">
        <v>600</v>
      </c>
      <c r="B522" s="1">
        <v>45456</v>
      </c>
      <c r="C522" t="s">
        <v>53</v>
      </c>
      <c r="D522" t="s">
        <v>41</v>
      </c>
      <c r="E522" t="s">
        <v>61</v>
      </c>
      <c r="F522" t="s">
        <v>29</v>
      </c>
      <c r="G522" t="s">
        <v>43</v>
      </c>
      <c r="H522">
        <v>2800</v>
      </c>
      <c r="I522">
        <v>11</v>
      </c>
      <c r="J522">
        <v>5</v>
      </c>
      <c r="K522">
        <v>5</v>
      </c>
      <c r="L522">
        <v>29260</v>
      </c>
      <c r="M522">
        <v>30412.86</v>
      </c>
      <c r="N522">
        <f t="shared" si="9"/>
        <v>-1152.8600000000006</v>
      </c>
      <c r="O522" t="s">
        <v>23</v>
      </c>
      <c r="P522" t="s">
        <v>24</v>
      </c>
      <c r="Q522" t="s">
        <v>25</v>
      </c>
    </row>
    <row r="523" spans="1:17" x14ac:dyDescent="0.3">
      <c r="A523" t="s">
        <v>601</v>
      </c>
      <c r="B523" s="1">
        <v>45364</v>
      </c>
      <c r="C523" t="s">
        <v>34</v>
      </c>
      <c r="D523" t="s">
        <v>27</v>
      </c>
      <c r="E523" t="s">
        <v>61</v>
      </c>
      <c r="F523" t="s">
        <v>29</v>
      </c>
      <c r="G523" t="s">
        <v>43</v>
      </c>
      <c r="H523">
        <v>2800</v>
      </c>
      <c r="I523">
        <v>1</v>
      </c>
      <c r="J523">
        <v>5</v>
      </c>
      <c r="K523">
        <v>15</v>
      </c>
      <c r="L523">
        <v>2660</v>
      </c>
      <c r="M523">
        <v>2488.4</v>
      </c>
      <c r="N523">
        <f t="shared" si="9"/>
        <v>171.59999999999991</v>
      </c>
      <c r="O523" t="s">
        <v>38</v>
      </c>
      <c r="P523" t="s">
        <v>31</v>
      </c>
      <c r="Q523" t="s">
        <v>39</v>
      </c>
    </row>
    <row r="524" spans="1:17" x14ac:dyDescent="0.3">
      <c r="A524" t="s">
        <v>602</v>
      </c>
      <c r="B524" s="1">
        <v>45402</v>
      </c>
      <c r="C524" t="s">
        <v>49</v>
      </c>
      <c r="D524" t="s">
        <v>19</v>
      </c>
      <c r="E524" t="s">
        <v>63</v>
      </c>
      <c r="F524" t="s">
        <v>64</v>
      </c>
      <c r="G524" t="s">
        <v>65</v>
      </c>
      <c r="H524">
        <v>4000</v>
      </c>
      <c r="I524">
        <v>6</v>
      </c>
      <c r="J524">
        <v>10</v>
      </c>
      <c r="K524">
        <v>25</v>
      </c>
      <c r="L524">
        <v>21600</v>
      </c>
      <c r="M524">
        <v>19161.36</v>
      </c>
      <c r="N524">
        <f t="shared" si="9"/>
        <v>2438.6399999999994</v>
      </c>
      <c r="O524" t="s">
        <v>38</v>
      </c>
      <c r="P524" t="s">
        <v>31</v>
      </c>
      <c r="Q524" t="s">
        <v>39</v>
      </c>
    </row>
    <row r="525" spans="1:17" x14ac:dyDescent="0.3">
      <c r="A525" t="s">
        <v>603</v>
      </c>
      <c r="B525" s="1">
        <v>45431</v>
      </c>
      <c r="C525" t="s">
        <v>49</v>
      </c>
      <c r="D525" t="s">
        <v>27</v>
      </c>
      <c r="E525" t="s">
        <v>57</v>
      </c>
      <c r="F525" t="s">
        <v>46</v>
      </c>
      <c r="G525" t="s">
        <v>58</v>
      </c>
      <c r="H525">
        <v>18000</v>
      </c>
      <c r="I525">
        <v>3</v>
      </c>
      <c r="J525">
        <v>15</v>
      </c>
      <c r="K525">
        <v>25</v>
      </c>
      <c r="L525">
        <v>45900</v>
      </c>
      <c r="M525">
        <v>43144.99</v>
      </c>
      <c r="N525">
        <f t="shared" si="9"/>
        <v>2755.010000000002</v>
      </c>
      <c r="O525" t="s">
        <v>38</v>
      </c>
      <c r="P525" t="s">
        <v>31</v>
      </c>
      <c r="Q525" t="s">
        <v>39</v>
      </c>
    </row>
    <row r="526" spans="1:17" x14ac:dyDescent="0.3">
      <c r="A526" t="s">
        <v>604</v>
      </c>
      <c r="B526" s="1">
        <v>45472</v>
      </c>
      <c r="C526" t="s">
        <v>18</v>
      </c>
      <c r="D526" t="s">
        <v>92</v>
      </c>
      <c r="E526" t="s">
        <v>42</v>
      </c>
      <c r="F526" t="s">
        <v>29</v>
      </c>
      <c r="G526" t="s">
        <v>43</v>
      </c>
      <c r="H526">
        <v>500</v>
      </c>
      <c r="I526">
        <v>2</v>
      </c>
      <c r="J526">
        <v>10</v>
      </c>
      <c r="K526">
        <v>10</v>
      </c>
      <c r="L526">
        <v>900</v>
      </c>
      <c r="M526">
        <v>829.06</v>
      </c>
      <c r="N526">
        <f t="shared" si="9"/>
        <v>70.940000000000055</v>
      </c>
      <c r="O526" t="s">
        <v>23</v>
      </c>
      <c r="P526" t="s">
        <v>31</v>
      </c>
      <c r="Q526" t="s">
        <v>32</v>
      </c>
    </row>
    <row r="527" spans="1:17" x14ac:dyDescent="0.3">
      <c r="A527" t="s">
        <v>605</v>
      </c>
      <c r="B527" s="1">
        <v>45363</v>
      </c>
      <c r="C527" t="s">
        <v>34</v>
      </c>
      <c r="D527" t="s">
        <v>92</v>
      </c>
      <c r="E527" t="s">
        <v>28</v>
      </c>
      <c r="F527" t="s">
        <v>29</v>
      </c>
      <c r="G527" t="s">
        <v>30</v>
      </c>
      <c r="H527">
        <v>1800</v>
      </c>
      <c r="I527">
        <v>2</v>
      </c>
      <c r="J527">
        <v>5</v>
      </c>
      <c r="K527">
        <v>25</v>
      </c>
      <c r="L527">
        <v>3420</v>
      </c>
      <c r="M527">
        <v>2951.9</v>
      </c>
      <c r="N527">
        <f t="shared" si="9"/>
        <v>468.09999999999991</v>
      </c>
      <c r="O527" t="s">
        <v>38</v>
      </c>
      <c r="P527" t="s">
        <v>31</v>
      </c>
      <c r="Q527" t="s">
        <v>39</v>
      </c>
    </row>
    <row r="528" spans="1:17" x14ac:dyDescent="0.3">
      <c r="A528" t="s">
        <v>606</v>
      </c>
      <c r="B528" s="1">
        <v>45389</v>
      </c>
      <c r="C528" t="s">
        <v>18</v>
      </c>
      <c r="D528" t="s">
        <v>70</v>
      </c>
      <c r="E528" t="s">
        <v>54</v>
      </c>
      <c r="F528" t="s">
        <v>46</v>
      </c>
      <c r="G528" t="s">
        <v>55</v>
      </c>
      <c r="H528">
        <v>4500</v>
      </c>
      <c r="I528">
        <v>11</v>
      </c>
      <c r="J528">
        <v>10</v>
      </c>
      <c r="K528">
        <v>15</v>
      </c>
      <c r="L528">
        <v>44550</v>
      </c>
      <c r="M528">
        <v>39731.07</v>
      </c>
      <c r="N528">
        <f t="shared" si="9"/>
        <v>4818.93</v>
      </c>
      <c r="O528" t="s">
        <v>38</v>
      </c>
      <c r="P528" t="s">
        <v>31</v>
      </c>
      <c r="Q528" t="s">
        <v>39</v>
      </c>
    </row>
    <row r="529" spans="1:17" x14ac:dyDescent="0.3">
      <c r="A529" t="s">
        <v>607</v>
      </c>
      <c r="B529" s="1">
        <v>45341</v>
      </c>
      <c r="C529" t="s">
        <v>18</v>
      </c>
      <c r="D529" t="s">
        <v>92</v>
      </c>
      <c r="E529" t="s">
        <v>20</v>
      </c>
      <c r="F529" t="s">
        <v>21</v>
      </c>
      <c r="G529" t="s">
        <v>22</v>
      </c>
      <c r="H529">
        <v>6000</v>
      </c>
      <c r="I529">
        <v>5</v>
      </c>
      <c r="J529">
        <v>15</v>
      </c>
      <c r="K529">
        <v>25</v>
      </c>
      <c r="L529">
        <v>25500</v>
      </c>
      <c r="M529">
        <v>25876.400000000001</v>
      </c>
      <c r="N529">
        <f t="shared" si="9"/>
        <v>-376.40000000000146</v>
      </c>
      <c r="O529" t="s">
        <v>38</v>
      </c>
      <c r="P529" t="s">
        <v>24</v>
      </c>
      <c r="Q529" t="s">
        <v>39</v>
      </c>
    </row>
    <row r="530" spans="1:17" x14ac:dyDescent="0.3">
      <c r="A530" t="s">
        <v>608</v>
      </c>
      <c r="B530" s="1">
        <v>45382</v>
      </c>
      <c r="C530" t="s">
        <v>34</v>
      </c>
      <c r="D530" t="s">
        <v>35</v>
      </c>
      <c r="E530" t="s">
        <v>140</v>
      </c>
      <c r="F530" t="s">
        <v>141</v>
      </c>
      <c r="G530" t="s">
        <v>142</v>
      </c>
      <c r="H530">
        <v>12000</v>
      </c>
      <c r="I530">
        <v>14</v>
      </c>
      <c r="J530">
        <v>15</v>
      </c>
      <c r="K530">
        <v>20</v>
      </c>
      <c r="L530">
        <v>142800</v>
      </c>
      <c r="M530">
        <v>122215.45</v>
      </c>
      <c r="N530">
        <f t="shared" si="9"/>
        <v>20584.550000000003</v>
      </c>
      <c r="O530" t="s">
        <v>38</v>
      </c>
      <c r="P530" t="s">
        <v>31</v>
      </c>
      <c r="Q530" t="s">
        <v>39</v>
      </c>
    </row>
    <row r="531" spans="1:17" x14ac:dyDescent="0.3">
      <c r="A531" t="s">
        <v>609</v>
      </c>
      <c r="B531" s="1">
        <v>45317</v>
      </c>
      <c r="C531" t="s">
        <v>18</v>
      </c>
      <c r="D531" t="s">
        <v>41</v>
      </c>
      <c r="E531" t="s">
        <v>57</v>
      </c>
      <c r="F531" t="s">
        <v>46</v>
      </c>
      <c r="G531" t="s">
        <v>58</v>
      </c>
      <c r="H531">
        <v>18000</v>
      </c>
      <c r="I531">
        <v>8</v>
      </c>
      <c r="J531">
        <v>15</v>
      </c>
      <c r="K531">
        <v>10</v>
      </c>
      <c r="L531">
        <v>122400</v>
      </c>
      <c r="M531">
        <v>120949.52</v>
      </c>
      <c r="N531">
        <f t="shared" si="9"/>
        <v>1450.4799999999959</v>
      </c>
      <c r="O531" t="s">
        <v>23</v>
      </c>
      <c r="P531" t="s">
        <v>31</v>
      </c>
      <c r="Q531" t="s">
        <v>32</v>
      </c>
    </row>
    <row r="532" spans="1:17" x14ac:dyDescent="0.3">
      <c r="A532" t="s">
        <v>610</v>
      </c>
      <c r="B532" s="1">
        <v>45422</v>
      </c>
      <c r="C532" t="s">
        <v>34</v>
      </c>
      <c r="D532" t="s">
        <v>27</v>
      </c>
      <c r="E532" t="s">
        <v>57</v>
      </c>
      <c r="F532" t="s">
        <v>46</v>
      </c>
      <c r="G532" t="s">
        <v>58</v>
      </c>
      <c r="H532">
        <v>18000</v>
      </c>
      <c r="I532">
        <v>2</v>
      </c>
      <c r="J532">
        <v>15</v>
      </c>
      <c r="K532">
        <v>5</v>
      </c>
      <c r="L532">
        <v>30600</v>
      </c>
      <c r="M532">
        <v>30524.57</v>
      </c>
      <c r="N532">
        <f t="shared" si="9"/>
        <v>75.430000000000291</v>
      </c>
      <c r="O532" t="s">
        <v>23</v>
      </c>
      <c r="P532" t="s">
        <v>31</v>
      </c>
      <c r="Q532" t="s">
        <v>32</v>
      </c>
    </row>
    <row r="533" spans="1:17" x14ac:dyDescent="0.3">
      <c r="A533" t="s">
        <v>611</v>
      </c>
      <c r="B533" s="1">
        <v>45465</v>
      </c>
      <c r="C533" t="s">
        <v>49</v>
      </c>
      <c r="D533" t="s">
        <v>27</v>
      </c>
      <c r="E533" t="s">
        <v>45</v>
      </c>
      <c r="F533" t="s">
        <v>46</v>
      </c>
      <c r="G533" t="s">
        <v>47</v>
      </c>
      <c r="H533">
        <v>15000</v>
      </c>
      <c r="I533">
        <v>12</v>
      </c>
      <c r="J533">
        <v>15</v>
      </c>
      <c r="K533">
        <v>20</v>
      </c>
      <c r="L533">
        <v>153000</v>
      </c>
      <c r="M533">
        <v>140931</v>
      </c>
      <c r="N533">
        <f t="shared" si="9"/>
        <v>12069</v>
      </c>
      <c r="O533" t="s">
        <v>38</v>
      </c>
      <c r="P533" t="s">
        <v>31</v>
      </c>
      <c r="Q533" t="s">
        <v>39</v>
      </c>
    </row>
    <row r="534" spans="1:17" x14ac:dyDescent="0.3">
      <c r="A534" t="s">
        <v>612</v>
      </c>
      <c r="B534" s="1">
        <v>45297</v>
      </c>
      <c r="C534" t="s">
        <v>49</v>
      </c>
      <c r="D534" t="s">
        <v>41</v>
      </c>
      <c r="E534" t="s">
        <v>107</v>
      </c>
      <c r="F534" t="s">
        <v>108</v>
      </c>
      <c r="G534" t="s">
        <v>109</v>
      </c>
      <c r="H534">
        <v>18000</v>
      </c>
      <c r="I534">
        <v>3</v>
      </c>
      <c r="J534">
        <v>15</v>
      </c>
      <c r="K534">
        <v>5</v>
      </c>
      <c r="L534">
        <v>45900</v>
      </c>
      <c r="M534">
        <v>47540.800000000003</v>
      </c>
      <c r="N534">
        <f t="shared" si="9"/>
        <v>-1640.8000000000029</v>
      </c>
      <c r="O534" t="s">
        <v>23</v>
      </c>
      <c r="P534" t="s">
        <v>24</v>
      </c>
      <c r="Q534" t="s">
        <v>25</v>
      </c>
    </row>
    <row r="535" spans="1:17" x14ac:dyDescent="0.3">
      <c r="A535" t="s">
        <v>613</v>
      </c>
      <c r="B535" s="1">
        <v>45336</v>
      </c>
      <c r="C535" t="s">
        <v>53</v>
      </c>
      <c r="D535" t="s">
        <v>19</v>
      </c>
      <c r="E535" t="s">
        <v>151</v>
      </c>
      <c r="F535" t="s">
        <v>141</v>
      </c>
      <c r="G535" t="s">
        <v>142</v>
      </c>
      <c r="H535">
        <v>3500</v>
      </c>
      <c r="I535">
        <v>14</v>
      </c>
      <c r="J535">
        <v>10</v>
      </c>
      <c r="K535">
        <v>10</v>
      </c>
      <c r="L535">
        <v>44100</v>
      </c>
      <c r="M535">
        <v>43092</v>
      </c>
      <c r="N535">
        <f t="shared" si="9"/>
        <v>1008</v>
      </c>
      <c r="O535" t="s">
        <v>23</v>
      </c>
      <c r="P535" t="s">
        <v>31</v>
      </c>
      <c r="Q535" t="s">
        <v>32</v>
      </c>
    </row>
    <row r="536" spans="1:17" x14ac:dyDescent="0.3">
      <c r="A536" t="s">
        <v>614</v>
      </c>
      <c r="B536" s="1">
        <v>45313</v>
      </c>
      <c r="C536" t="s">
        <v>34</v>
      </c>
      <c r="D536" t="s">
        <v>19</v>
      </c>
      <c r="E536" t="s">
        <v>75</v>
      </c>
      <c r="F536" t="s">
        <v>76</v>
      </c>
      <c r="G536" t="s">
        <v>77</v>
      </c>
      <c r="H536">
        <v>8000</v>
      </c>
      <c r="I536">
        <v>10</v>
      </c>
      <c r="J536">
        <v>15</v>
      </c>
      <c r="K536">
        <v>25</v>
      </c>
      <c r="L536">
        <v>68000</v>
      </c>
      <c r="M536">
        <v>62052.17</v>
      </c>
      <c r="N536">
        <f t="shared" si="9"/>
        <v>5947.8300000000017</v>
      </c>
      <c r="O536" t="s">
        <v>38</v>
      </c>
      <c r="P536" t="s">
        <v>31</v>
      </c>
      <c r="Q536" t="s">
        <v>39</v>
      </c>
    </row>
    <row r="537" spans="1:17" x14ac:dyDescent="0.3">
      <c r="A537" t="s">
        <v>615</v>
      </c>
      <c r="B537" s="1">
        <v>45458</v>
      </c>
      <c r="C537" t="s">
        <v>49</v>
      </c>
      <c r="D537" t="s">
        <v>19</v>
      </c>
      <c r="E537" t="s">
        <v>100</v>
      </c>
      <c r="F537" t="s">
        <v>46</v>
      </c>
      <c r="G537" t="s">
        <v>55</v>
      </c>
      <c r="H537">
        <v>2500</v>
      </c>
      <c r="I537">
        <v>5</v>
      </c>
      <c r="J537">
        <v>10</v>
      </c>
      <c r="K537">
        <v>10</v>
      </c>
      <c r="L537">
        <v>11250</v>
      </c>
      <c r="M537">
        <v>10036.93</v>
      </c>
      <c r="N537">
        <f t="shared" si="9"/>
        <v>1213.0699999999997</v>
      </c>
      <c r="O537" t="s">
        <v>23</v>
      </c>
      <c r="P537" t="s">
        <v>31</v>
      </c>
      <c r="Q537" t="s">
        <v>32</v>
      </c>
    </row>
    <row r="538" spans="1:17" x14ac:dyDescent="0.3">
      <c r="A538" t="s">
        <v>616</v>
      </c>
      <c r="B538" s="1">
        <v>45357</v>
      </c>
      <c r="C538" t="s">
        <v>34</v>
      </c>
      <c r="D538" t="s">
        <v>70</v>
      </c>
      <c r="E538" t="s">
        <v>151</v>
      </c>
      <c r="F538" t="s">
        <v>141</v>
      </c>
      <c r="G538" t="s">
        <v>142</v>
      </c>
      <c r="H538">
        <v>3500</v>
      </c>
      <c r="I538">
        <v>8</v>
      </c>
      <c r="J538">
        <v>10</v>
      </c>
      <c r="K538">
        <v>0</v>
      </c>
      <c r="L538">
        <v>25200</v>
      </c>
      <c r="M538">
        <v>22831.4</v>
      </c>
      <c r="N538">
        <f t="shared" si="9"/>
        <v>2368.5999999999985</v>
      </c>
      <c r="O538" t="s">
        <v>23</v>
      </c>
      <c r="P538" t="s">
        <v>31</v>
      </c>
      <c r="Q538" t="s">
        <v>32</v>
      </c>
    </row>
    <row r="539" spans="1:17" x14ac:dyDescent="0.3">
      <c r="A539" t="s">
        <v>617</v>
      </c>
      <c r="B539" s="1">
        <v>45472</v>
      </c>
      <c r="C539" t="s">
        <v>49</v>
      </c>
      <c r="D539" t="s">
        <v>35</v>
      </c>
      <c r="E539" t="s">
        <v>155</v>
      </c>
      <c r="F539" t="s">
        <v>21</v>
      </c>
      <c r="G539" t="s">
        <v>72</v>
      </c>
      <c r="H539">
        <v>35000</v>
      </c>
      <c r="I539">
        <v>6</v>
      </c>
      <c r="J539">
        <v>5</v>
      </c>
      <c r="K539">
        <v>10</v>
      </c>
      <c r="L539">
        <v>199500</v>
      </c>
      <c r="M539">
        <v>171610.19</v>
      </c>
      <c r="N539">
        <f t="shared" si="9"/>
        <v>27889.809999999998</v>
      </c>
      <c r="O539" t="s">
        <v>38</v>
      </c>
      <c r="P539" t="s">
        <v>31</v>
      </c>
      <c r="Q539" t="s">
        <v>39</v>
      </c>
    </row>
    <row r="540" spans="1:17" x14ac:dyDescent="0.3">
      <c r="A540" t="s">
        <v>618</v>
      </c>
      <c r="B540" s="1">
        <v>45327</v>
      </c>
      <c r="C540" t="s">
        <v>34</v>
      </c>
      <c r="D540" t="s">
        <v>41</v>
      </c>
      <c r="E540" t="s">
        <v>28</v>
      </c>
      <c r="F540" t="s">
        <v>29</v>
      </c>
      <c r="G540" t="s">
        <v>30</v>
      </c>
      <c r="H540">
        <v>1800</v>
      </c>
      <c r="I540">
        <v>14</v>
      </c>
      <c r="J540">
        <v>10</v>
      </c>
      <c r="K540">
        <v>5</v>
      </c>
      <c r="L540">
        <v>22680</v>
      </c>
      <c r="M540">
        <v>20697.400000000001</v>
      </c>
      <c r="N540">
        <f t="shared" si="9"/>
        <v>1982.5999999999985</v>
      </c>
      <c r="O540" t="s">
        <v>23</v>
      </c>
      <c r="P540" t="s">
        <v>31</v>
      </c>
      <c r="Q540" t="s">
        <v>32</v>
      </c>
    </row>
    <row r="541" spans="1:17" x14ac:dyDescent="0.3">
      <c r="A541" t="s">
        <v>619</v>
      </c>
      <c r="B541" s="1">
        <v>45412</v>
      </c>
      <c r="C541" t="s">
        <v>18</v>
      </c>
      <c r="D541" t="s">
        <v>41</v>
      </c>
      <c r="E541" t="s">
        <v>42</v>
      </c>
      <c r="F541" t="s">
        <v>29</v>
      </c>
      <c r="G541" t="s">
        <v>43</v>
      </c>
      <c r="H541">
        <v>500</v>
      </c>
      <c r="I541">
        <v>12</v>
      </c>
      <c r="J541">
        <v>5</v>
      </c>
      <c r="K541">
        <v>20</v>
      </c>
      <c r="L541">
        <v>5700</v>
      </c>
      <c r="M541">
        <v>4856.66</v>
      </c>
      <c r="N541">
        <f t="shared" si="9"/>
        <v>843.34000000000015</v>
      </c>
      <c r="O541" t="s">
        <v>38</v>
      </c>
      <c r="P541" t="s">
        <v>31</v>
      </c>
      <c r="Q541" t="s">
        <v>39</v>
      </c>
    </row>
    <row r="542" spans="1:17" x14ac:dyDescent="0.3">
      <c r="A542" t="s">
        <v>620</v>
      </c>
      <c r="B542" s="1">
        <v>45349</v>
      </c>
      <c r="C542" t="s">
        <v>18</v>
      </c>
      <c r="D542" t="s">
        <v>41</v>
      </c>
      <c r="E542" t="s">
        <v>42</v>
      </c>
      <c r="F542" t="s">
        <v>29</v>
      </c>
      <c r="G542" t="s">
        <v>43</v>
      </c>
      <c r="H542">
        <v>500</v>
      </c>
      <c r="I542">
        <v>8</v>
      </c>
      <c r="J542">
        <v>15</v>
      </c>
      <c r="K542">
        <v>15</v>
      </c>
      <c r="L542">
        <v>3400</v>
      </c>
      <c r="M542">
        <v>3095.94</v>
      </c>
      <c r="N542">
        <f t="shared" si="9"/>
        <v>304.05999999999995</v>
      </c>
      <c r="O542" t="s">
        <v>23</v>
      </c>
      <c r="P542" t="s">
        <v>31</v>
      </c>
      <c r="Q542" t="s">
        <v>32</v>
      </c>
    </row>
    <row r="543" spans="1:17" x14ac:dyDescent="0.3">
      <c r="A543" t="s">
        <v>621</v>
      </c>
      <c r="B543" s="1">
        <v>45411</v>
      </c>
      <c r="C543" t="s">
        <v>34</v>
      </c>
      <c r="D543" t="s">
        <v>41</v>
      </c>
      <c r="E543" t="s">
        <v>155</v>
      </c>
      <c r="F543" t="s">
        <v>21</v>
      </c>
      <c r="G543" t="s">
        <v>72</v>
      </c>
      <c r="H543">
        <v>35000</v>
      </c>
      <c r="I543">
        <v>4</v>
      </c>
      <c r="J543">
        <v>15</v>
      </c>
      <c r="K543">
        <v>25</v>
      </c>
      <c r="L543">
        <v>119000</v>
      </c>
      <c r="M543">
        <v>114884.84</v>
      </c>
      <c r="N543">
        <f t="shared" si="9"/>
        <v>4115.1600000000035</v>
      </c>
      <c r="O543" t="s">
        <v>38</v>
      </c>
      <c r="P543" t="s">
        <v>31</v>
      </c>
      <c r="Q543" t="s">
        <v>39</v>
      </c>
    </row>
    <row r="544" spans="1:17" x14ac:dyDescent="0.3">
      <c r="A544" t="s">
        <v>622</v>
      </c>
      <c r="B544" s="1">
        <v>45461</v>
      </c>
      <c r="C544" t="s">
        <v>49</v>
      </c>
      <c r="D544" t="s">
        <v>19</v>
      </c>
      <c r="E544" t="s">
        <v>45</v>
      </c>
      <c r="F544" t="s">
        <v>46</v>
      </c>
      <c r="G544" t="s">
        <v>47</v>
      </c>
      <c r="H544">
        <v>15000</v>
      </c>
      <c r="I544">
        <v>7</v>
      </c>
      <c r="J544">
        <v>15</v>
      </c>
      <c r="K544">
        <v>20</v>
      </c>
      <c r="L544">
        <v>89250</v>
      </c>
      <c r="M544">
        <v>84955.04</v>
      </c>
      <c r="N544">
        <f t="shared" si="9"/>
        <v>4294.9600000000064</v>
      </c>
      <c r="O544" t="s">
        <v>38</v>
      </c>
      <c r="P544" t="s">
        <v>31</v>
      </c>
      <c r="Q544" t="s">
        <v>39</v>
      </c>
    </row>
    <row r="545" spans="1:17" x14ac:dyDescent="0.3">
      <c r="A545" t="s">
        <v>623</v>
      </c>
      <c r="B545" s="1">
        <v>45370</v>
      </c>
      <c r="C545" t="s">
        <v>53</v>
      </c>
      <c r="D545" t="s">
        <v>19</v>
      </c>
      <c r="E545" t="s">
        <v>61</v>
      </c>
      <c r="F545" t="s">
        <v>29</v>
      </c>
      <c r="G545" t="s">
        <v>43</v>
      </c>
      <c r="H545">
        <v>2800</v>
      </c>
      <c r="I545">
        <v>13</v>
      </c>
      <c r="J545">
        <v>5</v>
      </c>
      <c r="K545">
        <v>5</v>
      </c>
      <c r="L545">
        <v>34580</v>
      </c>
      <c r="M545">
        <v>35100.92</v>
      </c>
      <c r="N545">
        <f t="shared" si="9"/>
        <v>-520.91999999999825</v>
      </c>
      <c r="O545" t="s">
        <v>23</v>
      </c>
      <c r="P545" t="s">
        <v>24</v>
      </c>
      <c r="Q545" t="s">
        <v>25</v>
      </c>
    </row>
    <row r="546" spans="1:17" x14ac:dyDescent="0.3">
      <c r="A546" t="s">
        <v>624</v>
      </c>
      <c r="B546" s="1">
        <v>45292</v>
      </c>
      <c r="C546" t="s">
        <v>49</v>
      </c>
      <c r="D546" t="s">
        <v>35</v>
      </c>
      <c r="E546" t="s">
        <v>20</v>
      </c>
      <c r="F546" t="s">
        <v>21</v>
      </c>
      <c r="G546" t="s">
        <v>22</v>
      </c>
      <c r="H546">
        <v>6000</v>
      </c>
      <c r="I546">
        <v>5</v>
      </c>
      <c r="J546">
        <v>10</v>
      </c>
      <c r="K546">
        <v>25</v>
      </c>
      <c r="L546">
        <v>27000</v>
      </c>
      <c r="M546">
        <v>23196.29</v>
      </c>
      <c r="N546">
        <f t="shared" si="9"/>
        <v>3803.7099999999991</v>
      </c>
      <c r="O546" t="s">
        <v>38</v>
      </c>
      <c r="P546" t="s">
        <v>31</v>
      </c>
      <c r="Q546" t="s">
        <v>39</v>
      </c>
    </row>
    <row r="547" spans="1:17" x14ac:dyDescent="0.3">
      <c r="A547" t="s">
        <v>625</v>
      </c>
      <c r="B547" s="1">
        <v>45294</v>
      </c>
      <c r="C547" t="s">
        <v>18</v>
      </c>
      <c r="D547" t="s">
        <v>19</v>
      </c>
      <c r="E547" t="s">
        <v>36</v>
      </c>
      <c r="F547" t="s">
        <v>29</v>
      </c>
      <c r="G547" t="s">
        <v>37</v>
      </c>
      <c r="H547">
        <v>1200</v>
      </c>
      <c r="I547">
        <v>13</v>
      </c>
      <c r="J547">
        <v>15</v>
      </c>
      <c r="K547">
        <v>25</v>
      </c>
      <c r="L547">
        <v>13260</v>
      </c>
      <c r="M547">
        <v>13196.38</v>
      </c>
      <c r="N547">
        <f t="shared" si="9"/>
        <v>63.6200000000008</v>
      </c>
      <c r="O547" t="s">
        <v>38</v>
      </c>
      <c r="P547" t="s">
        <v>31</v>
      </c>
      <c r="Q547" t="s">
        <v>39</v>
      </c>
    </row>
    <row r="548" spans="1:17" x14ac:dyDescent="0.3">
      <c r="A548" t="s">
        <v>626</v>
      </c>
      <c r="B548" s="1">
        <v>45319</v>
      </c>
      <c r="C548" t="s">
        <v>49</v>
      </c>
      <c r="D548" t="s">
        <v>41</v>
      </c>
      <c r="E548" t="s">
        <v>50</v>
      </c>
      <c r="F548" t="s">
        <v>21</v>
      </c>
      <c r="G548" t="s">
        <v>51</v>
      </c>
      <c r="H548">
        <v>4500</v>
      </c>
      <c r="I548">
        <v>7</v>
      </c>
      <c r="J548">
        <v>5</v>
      </c>
      <c r="K548">
        <v>15</v>
      </c>
      <c r="L548">
        <v>29925</v>
      </c>
      <c r="M548">
        <v>30783.88</v>
      </c>
      <c r="N548">
        <f t="shared" si="9"/>
        <v>-858.88000000000102</v>
      </c>
      <c r="O548" t="s">
        <v>38</v>
      </c>
      <c r="P548" t="s">
        <v>24</v>
      </c>
      <c r="Q548" t="s">
        <v>39</v>
      </c>
    </row>
    <row r="549" spans="1:17" x14ac:dyDescent="0.3">
      <c r="A549" t="s">
        <v>627</v>
      </c>
      <c r="B549" s="1">
        <v>45426</v>
      </c>
      <c r="C549" t="s">
        <v>49</v>
      </c>
      <c r="D549" t="s">
        <v>27</v>
      </c>
      <c r="E549" t="s">
        <v>50</v>
      </c>
      <c r="F549" t="s">
        <v>21</v>
      </c>
      <c r="G549" t="s">
        <v>51</v>
      </c>
      <c r="H549">
        <v>4500</v>
      </c>
      <c r="I549">
        <v>3</v>
      </c>
      <c r="J549">
        <v>5</v>
      </c>
      <c r="K549">
        <v>5</v>
      </c>
      <c r="L549">
        <v>12825</v>
      </c>
      <c r="M549">
        <v>11257.06</v>
      </c>
      <c r="N549">
        <f t="shared" si="9"/>
        <v>1567.9400000000005</v>
      </c>
      <c r="O549" t="s">
        <v>23</v>
      </c>
      <c r="P549" t="s">
        <v>31</v>
      </c>
      <c r="Q549" t="s">
        <v>32</v>
      </c>
    </row>
    <row r="550" spans="1:17" x14ac:dyDescent="0.3">
      <c r="A550" t="s">
        <v>628</v>
      </c>
      <c r="B550" s="1">
        <v>45314</v>
      </c>
      <c r="C550" t="s">
        <v>53</v>
      </c>
      <c r="D550" t="s">
        <v>70</v>
      </c>
      <c r="E550" t="s">
        <v>75</v>
      </c>
      <c r="F550" t="s">
        <v>76</v>
      </c>
      <c r="G550" t="s">
        <v>77</v>
      </c>
      <c r="H550">
        <v>8000</v>
      </c>
      <c r="I550">
        <v>9</v>
      </c>
      <c r="J550">
        <v>5</v>
      </c>
      <c r="K550">
        <v>0</v>
      </c>
      <c r="L550">
        <v>68400</v>
      </c>
      <c r="M550">
        <v>68374.39</v>
      </c>
      <c r="N550">
        <f t="shared" si="9"/>
        <v>25.610000000000582</v>
      </c>
      <c r="O550" t="s">
        <v>23</v>
      </c>
      <c r="P550" t="s">
        <v>31</v>
      </c>
      <c r="Q550" t="s">
        <v>32</v>
      </c>
    </row>
    <row r="551" spans="1:17" x14ac:dyDescent="0.3">
      <c r="A551" t="s">
        <v>629</v>
      </c>
      <c r="B551" s="1">
        <v>45415</v>
      </c>
      <c r="C551" t="s">
        <v>53</v>
      </c>
      <c r="D551" t="s">
        <v>19</v>
      </c>
      <c r="E551" t="s">
        <v>45</v>
      </c>
      <c r="F551" t="s">
        <v>46</v>
      </c>
      <c r="G551" t="s">
        <v>47</v>
      </c>
      <c r="H551">
        <v>15000</v>
      </c>
      <c r="I551">
        <v>12</v>
      </c>
      <c r="J551">
        <v>15</v>
      </c>
      <c r="K551">
        <v>10</v>
      </c>
      <c r="L551">
        <v>153000</v>
      </c>
      <c r="M551">
        <v>137431.85999999999</v>
      </c>
      <c r="N551">
        <f t="shared" si="9"/>
        <v>15568.140000000014</v>
      </c>
      <c r="O551" t="s">
        <v>23</v>
      </c>
      <c r="P551" t="s">
        <v>31</v>
      </c>
      <c r="Q551" t="s">
        <v>32</v>
      </c>
    </row>
    <row r="552" spans="1:17" x14ac:dyDescent="0.3">
      <c r="A552" t="s">
        <v>630</v>
      </c>
      <c r="B552" s="1">
        <v>45334</v>
      </c>
      <c r="C552" t="s">
        <v>18</v>
      </c>
      <c r="D552" t="s">
        <v>70</v>
      </c>
      <c r="E552" t="s">
        <v>102</v>
      </c>
      <c r="F552" t="s">
        <v>29</v>
      </c>
      <c r="G552" t="s">
        <v>43</v>
      </c>
      <c r="H552">
        <v>1500</v>
      </c>
      <c r="I552">
        <v>13</v>
      </c>
      <c r="J552">
        <v>15</v>
      </c>
      <c r="K552">
        <v>10</v>
      </c>
      <c r="L552">
        <v>16575</v>
      </c>
      <c r="M552">
        <v>14211.15</v>
      </c>
      <c r="N552">
        <f t="shared" si="9"/>
        <v>2363.8500000000004</v>
      </c>
      <c r="O552" t="s">
        <v>23</v>
      </c>
      <c r="P552" t="s">
        <v>31</v>
      </c>
      <c r="Q552" t="s">
        <v>32</v>
      </c>
    </row>
    <row r="553" spans="1:17" x14ac:dyDescent="0.3">
      <c r="A553" t="s">
        <v>631</v>
      </c>
      <c r="B553" s="1">
        <v>45299</v>
      </c>
      <c r="C553" t="s">
        <v>34</v>
      </c>
      <c r="D553" t="s">
        <v>27</v>
      </c>
      <c r="E553" t="s">
        <v>61</v>
      </c>
      <c r="F553" t="s">
        <v>29</v>
      </c>
      <c r="G553" t="s">
        <v>43</v>
      </c>
      <c r="H553">
        <v>2800</v>
      </c>
      <c r="I553">
        <v>1</v>
      </c>
      <c r="J553">
        <v>10</v>
      </c>
      <c r="K553">
        <v>5</v>
      </c>
      <c r="L553">
        <v>2520</v>
      </c>
      <c r="M553">
        <v>2202.2399999999998</v>
      </c>
      <c r="N553">
        <f t="shared" si="9"/>
        <v>317.76000000000022</v>
      </c>
      <c r="O553" t="s">
        <v>23</v>
      </c>
      <c r="P553" t="s">
        <v>31</v>
      </c>
      <c r="Q553" t="s">
        <v>32</v>
      </c>
    </row>
    <row r="554" spans="1:17" x14ac:dyDescent="0.3">
      <c r="A554" t="s">
        <v>632</v>
      </c>
      <c r="B554" s="1">
        <v>45397</v>
      </c>
      <c r="C554" t="s">
        <v>34</v>
      </c>
      <c r="D554" t="s">
        <v>92</v>
      </c>
      <c r="E554" t="s">
        <v>50</v>
      </c>
      <c r="F554" t="s">
        <v>21</v>
      </c>
      <c r="G554" t="s">
        <v>51</v>
      </c>
      <c r="H554">
        <v>4500</v>
      </c>
      <c r="I554">
        <v>5</v>
      </c>
      <c r="J554">
        <v>15</v>
      </c>
      <c r="K554">
        <v>0</v>
      </c>
      <c r="L554">
        <v>19125</v>
      </c>
      <c r="M554">
        <v>18628.87</v>
      </c>
      <c r="N554">
        <f t="shared" si="9"/>
        <v>496.13000000000102</v>
      </c>
      <c r="O554" t="s">
        <v>23</v>
      </c>
      <c r="P554" t="s">
        <v>31</v>
      </c>
      <c r="Q554" t="s">
        <v>32</v>
      </c>
    </row>
    <row r="555" spans="1:17" x14ac:dyDescent="0.3">
      <c r="A555" t="s">
        <v>633</v>
      </c>
      <c r="B555" s="1">
        <v>45305</v>
      </c>
      <c r="C555" t="s">
        <v>18</v>
      </c>
      <c r="D555" t="s">
        <v>27</v>
      </c>
      <c r="E555" t="s">
        <v>57</v>
      </c>
      <c r="F555" t="s">
        <v>46</v>
      </c>
      <c r="G555" t="s">
        <v>58</v>
      </c>
      <c r="H555">
        <v>18000</v>
      </c>
      <c r="I555">
        <v>13</v>
      </c>
      <c r="J555">
        <v>10</v>
      </c>
      <c r="K555">
        <v>25</v>
      </c>
      <c r="L555">
        <v>210600</v>
      </c>
      <c r="M555">
        <v>199782.89</v>
      </c>
      <c r="N555">
        <f t="shared" si="9"/>
        <v>10817.109999999986</v>
      </c>
      <c r="O555" t="s">
        <v>38</v>
      </c>
      <c r="P555" t="s">
        <v>31</v>
      </c>
      <c r="Q555" t="s">
        <v>39</v>
      </c>
    </row>
    <row r="556" spans="1:17" x14ac:dyDescent="0.3">
      <c r="A556" t="s">
        <v>634</v>
      </c>
      <c r="B556" s="1">
        <v>45374</v>
      </c>
      <c r="C556" t="s">
        <v>34</v>
      </c>
      <c r="D556" t="s">
        <v>35</v>
      </c>
      <c r="E556" t="s">
        <v>67</v>
      </c>
      <c r="F556" t="s">
        <v>29</v>
      </c>
      <c r="G556" t="s">
        <v>68</v>
      </c>
      <c r="H556">
        <v>1200</v>
      </c>
      <c r="I556">
        <v>7</v>
      </c>
      <c r="J556">
        <v>5</v>
      </c>
      <c r="K556">
        <v>0</v>
      </c>
      <c r="L556">
        <v>7980</v>
      </c>
      <c r="M556">
        <v>7429.74</v>
      </c>
      <c r="N556">
        <f t="shared" si="9"/>
        <v>550.26000000000022</v>
      </c>
      <c r="O556" t="s">
        <v>23</v>
      </c>
      <c r="P556" t="s">
        <v>31</v>
      </c>
      <c r="Q556" t="s">
        <v>32</v>
      </c>
    </row>
    <row r="557" spans="1:17" x14ac:dyDescent="0.3">
      <c r="A557" t="s">
        <v>635</v>
      </c>
      <c r="B557" s="1">
        <v>45371</v>
      </c>
      <c r="C557" t="s">
        <v>49</v>
      </c>
      <c r="D557" t="s">
        <v>27</v>
      </c>
      <c r="E557" t="s">
        <v>45</v>
      </c>
      <c r="F557" t="s">
        <v>46</v>
      </c>
      <c r="G557" t="s">
        <v>47</v>
      </c>
      <c r="H557">
        <v>15000</v>
      </c>
      <c r="I557">
        <v>9</v>
      </c>
      <c r="J557">
        <v>5</v>
      </c>
      <c r="K557">
        <v>10</v>
      </c>
      <c r="L557">
        <v>128250</v>
      </c>
      <c r="M557">
        <v>129641.84</v>
      </c>
      <c r="N557">
        <f t="shared" si="9"/>
        <v>-1391.8399999999965</v>
      </c>
      <c r="O557" t="s">
        <v>38</v>
      </c>
      <c r="P557" t="s">
        <v>24</v>
      </c>
      <c r="Q557" t="s">
        <v>39</v>
      </c>
    </row>
    <row r="558" spans="1:17" x14ac:dyDescent="0.3">
      <c r="A558" t="s">
        <v>636</v>
      </c>
      <c r="B558" s="1">
        <v>45371</v>
      </c>
      <c r="C558" t="s">
        <v>34</v>
      </c>
      <c r="D558" t="s">
        <v>92</v>
      </c>
      <c r="E558" t="s">
        <v>155</v>
      </c>
      <c r="F558" t="s">
        <v>21</v>
      </c>
      <c r="G558" t="s">
        <v>72</v>
      </c>
      <c r="H558">
        <v>35000</v>
      </c>
      <c r="I558">
        <v>6</v>
      </c>
      <c r="J558">
        <v>10</v>
      </c>
      <c r="K558">
        <v>10</v>
      </c>
      <c r="L558">
        <v>189000</v>
      </c>
      <c r="M558">
        <v>162704.82999999999</v>
      </c>
      <c r="N558">
        <f t="shared" si="9"/>
        <v>26295.170000000013</v>
      </c>
      <c r="O558" t="s">
        <v>23</v>
      </c>
      <c r="P558" t="s">
        <v>31</v>
      </c>
      <c r="Q558" t="s">
        <v>32</v>
      </c>
    </row>
    <row r="559" spans="1:17" x14ac:dyDescent="0.3">
      <c r="A559" t="s">
        <v>637</v>
      </c>
      <c r="B559" s="1">
        <v>45453</v>
      </c>
      <c r="C559" t="s">
        <v>34</v>
      </c>
      <c r="D559" t="s">
        <v>92</v>
      </c>
      <c r="E559" t="s">
        <v>54</v>
      </c>
      <c r="F559" t="s">
        <v>46</v>
      </c>
      <c r="G559" t="s">
        <v>55</v>
      </c>
      <c r="H559">
        <v>4500</v>
      </c>
      <c r="I559">
        <v>15</v>
      </c>
      <c r="J559">
        <v>5</v>
      </c>
      <c r="K559">
        <v>20</v>
      </c>
      <c r="L559">
        <v>64125</v>
      </c>
      <c r="M559">
        <v>61307.63</v>
      </c>
      <c r="N559">
        <f t="shared" si="9"/>
        <v>2817.3700000000026</v>
      </c>
      <c r="O559" t="s">
        <v>38</v>
      </c>
      <c r="P559" t="s">
        <v>31</v>
      </c>
      <c r="Q559" t="s">
        <v>39</v>
      </c>
    </row>
    <row r="560" spans="1:17" x14ac:dyDescent="0.3">
      <c r="A560" t="s">
        <v>638</v>
      </c>
      <c r="B560" s="1">
        <v>45393</v>
      </c>
      <c r="C560" t="s">
        <v>18</v>
      </c>
      <c r="D560" t="s">
        <v>70</v>
      </c>
      <c r="E560" t="s">
        <v>20</v>
      </c>
      <c r="F560" t="s">
        <v>21</v>
      </c>
      <c r="G560" t="s">
        <v>22</v>
      </c>
      <c r="H560">
        <v>6000</v>
      </c>
      <c r="I560">
        <v>3</v>
      </c>
      <c r="J560">
        <v>15</v>
      </c>
      <c r="K560">
        <v>10</v>
      </c>
      <c r="L560">
        <v>15300</v>
      </c>
      <c r="M560">
        <v>14228.6</v>
      </c>
      <c r="N560">
        <f t="shared" si="9"/>
        <v>1071.3999999999996</v>
      </c>
      <c r="O560" t="s">
        <v>23</v>
      </c>
      <c r="P560" t="s">
        <v>31</v>
      </c>
      <c r="Q560" t="s">
        <v>32</v>
      </c>
    </row>
    <row r="561" spans="1:17" x14ac:dyDescent="0.3">
      <c r="A561" t="s">
        <v>639</v>
      </c>
      <c r="B561" s="1">
        <v>45406</v>
      </c>
      <c r="C561" t="s">
        <v>34</v>
      </c>
      <c r="D561" t="s">
        <v>70</v>
      </c>
      <c r="E561" t="s">
        <v>151</v>
      </c>
      <c r="F561" t="s">
        <v>141</v>
      </c>
      <c r="G561" t="s">
        <v>142</v>
      </c>
      <c r="H561">
        <v>3500</v>
      </c>
      <c r="I561">
        <v>8</v>
      </c>
      <c r="J561">
        <v>5</v>
      </c>
      <c r="K561">
        <v>15</v>
      </c>
      <c r="L561">
        <v>26600</v>
      </c>
      <c r="M561">
        <v>26616.400000000001</v>
      </c>
      <c r="N561">
        <f t="shared" si="9"/>
        <v>-16.400000000001455</v>
      </c>
      <c r="O561" t="s">
        <v>38</v>
      </c>
      <c r="P561" t="s">
        <v>24</v>
      </c>
      <c r="Q561" t="s">
        <v>39</v>
      </c>
    </row>
    <row r="562" spans="1:17" x14ac:dyDescent="0.3">
      <c r="A562" t="s">
        <v>640</v>
      </c>
      <c r="B562" s="1">
        <v>45435</v>
      </c>
      <c r="C562" t="s">
        <v>53</v>
      </c>
      <c r="D562" t="s">
        <v>70</v>
      </c>
      <c r="E562" t="s">
        <v>50</v>
      </c>
      <c r="F562" t="s">
        <v>21</v>
      </c>
      <c r="G562" t="s">
        <v>51</v>
      </c>
      <c r="H562">
        <v>4500</v>
      </c>
      <c r="I562">
        <v>6</v>
      </c>
      <c r="J562">
        <v>15</v>
      </c>
      <c r="K562">
        <v>20</v>
      </c>
      <c r="L562">
        <v>22950</v>
      </c>
      <c r="M562">
        <v>20773.66</v>
      </c>
      <c r="N562">
        <f t="shared" si="9"/>
        <v>2176.34</v>
      </c>
      <c r="O562" t="s">
        <v>38</v>
      </c>
      <c r="P562" t="s">
        <v>31</v>
      </c>
      <c r="Q562" t="s">
        <v>39</v>
      </c>
    </row>
    <row r="563" spans="1:17" x14ac:dyDescent="0.3">
      <c r="A563" t="s">
        <v>641</v>
      </c>
      <c r="B563" s="1">
        <v>45354</v>
      </c>
      <c r="C563" t="s">
        <v>34</v>
      </c>
      <c r="D563" t="s">
        <v>35</v>
      </c>
      <c r="E563" t="s">
        <v>90</v>
      </c>
      <c r="F563" t="s">
        <v>29</v>
      </c>
      <c r="G563" t="s">
        <v>37</v>
      </c>
      <c r="H563">
        <v>6500</v>
      </c>
      <c r="I563">
        <v>13</v>
      </c>
      <c r="J563">
        <v>5</v>
      </c>
      <c r="K563">
        <v>5</v>
      </c>
      <c r="L563">
        <v>80275</v>
      </c>
      <c r="M563">
        <v>78785.649999999994</v>
      </c>
      <c r="N563">
        <f t="shared" si="9"/>
        <v>1489.3500000000058</v>
      </c>
      <c r="O563" t="s">
        <v>23</v>
      </c>
      <c r="P563" t="s">
        <v>31</v>
      </c>
      <c r="Q563" t="s">
        <v>32</v>
      </c>
    </row>
    <row r="564" spans="1:17" x14ac:dyDescent="0.3">
      <c r="A564" t="s">
        <v>642</v>
      </c>
      <c r="B564" s="1">
        <v>45323</v>
      </c>
      <c r="C564" t="s">
        <v>49</v>
      </c>
      <c r="D564" t="s">
        <v>92</v>
      </c>
      <c r="E564" t="s">
        <v>155</v>
      </c>
      <c r="F564" t="s">
        <v>21</v>
      </c>
      <c r="G564" t="s">
        <v>72</v>
      </c>
      <c r="H564">
        <v>35000</v>
      </c>
      <c r="I564">
        <v>4</v>
      </c>
      <c r="J564">
        <v>10</v>
      </c>
      <c r="K564">
        <v>15</v>
      </c>
      <c r="L564">
        <v>126000</v>
      </c>
      <c r="M564">
        <v>131861.09</v>
      </c>
      <c r="N564">
        <f t="shared" si="9"/>
        <v>-5861.0899999999965</v>
      </c>
      <c r="O564" t="s">
        <v>38</v>
      </c>
      <c r="P564" t="s">
        <v>24</v>
      </c>
      <c r="Q564" t="s">
        <v>39</v>
      </c>
    </row>
    <row r="565" spans="1:17" x14ac:dyDescent="0.3">
      <c r="A565" t="s">
        <v>643</v>
      </c>
      <c r="B565" s="1">
        <v>45343</v>
      </c>
      <c r="C565" t="s">
        <v>53</v>
      </c>
      <c r="D565" t="s">
        <v>92</v>
      </c>
      <c r="E565" t="s">
        <v>90</v>
      </c>
      <c r="F565" t="s">
        <v>29</v>
      </c>
      <c r="G565" t="s">
        <v>37</v>
      </c>
      <c r="H565">
        <v>6500</v>
      </c>
      <c r="I565">
        <v>4</v>
      </c>
      <c r="J565">
        <v>15</v>
      </c>
      <c r="K565">
        <v>15</v>
      </c>
      <c r="L565">
        <v>22100</v>
      </c>
      <c r="M565">
        <v>21669.99</v>
      </c>
      <c r="N565">
        <f t="shared" si="9"/>
        <v>430.0099999999984</v>
      </c>
      <c r="O565" t="s">
        <v>23</v>
      </c>
      <c r="P565" t="s">
        <v>31</v>
      </c>
      <c r="Q565" t="s">
        <v>32</v>
      </c>
    </row>
    <row r="566" spans="1:17" x14ac:dyDescent="0.3">
      <c r="A566" t="s">
        <v>644</v>
      </c>
      <c r="B566" s="1">
        <v>45309</v>
      </c>
      <c r="C566" t="s">
        <v>53</v>
      </c>
      <c r="D566" t="s">
        <v>27</v>
      </c>
      <c r="E566" t="s">
        <v>50</v>
      </c>
      <c r="F566" t="s">
        <v>21</v>
      </c>
      <c r="G566" t="s">
        <v>51</v>
      </c>
      <c r="H566">
        <v>4500</v>
      </c>
      <c r="I566">
        <v>11</v>
      </c>
      <c r="J566">
        <v>5</v>
      </c>
      <c r="K566">
        <v>20</v>
      </c>
      <c r="L566">
        <v>47025</v>
      </c>
      <c r="M566">
        <v>46943.29</v>
      </c>
      <c r="N566">
        <f t="shared" si="9"/>
        <v>81.709999999999127</v>
      </c>
      <c r="O566" t="s">
        <v>38</v>
      </c>
      <c r="P566" t="s">
        <v>31</v>
      </c>
      <c r="Q566" t="s">
        <v>39</v>
      </c>
    </row>
    <row r="567" spans="1:17" x14ac:dyDescent="0.3">
      <c r="A567" t="s">
        <v>645</v>
      </c>
      <c r="B567" s="1">
        <v>45310</v>
      </c>
      <c r="C567" t="s">
        <v>34</v>
      </c>
      <c r="D567" t="s">
        <v>19</v>
      </c>
      <c r="E567" t="s">
        <v>167</v>
      </c>
      <c r="F567" t="s">
        <v>21</v>
      </c>
      <c r="G567" t="s">
        <v>82</v>
      </c>
      <c r="H567">
        <v>7000</v>
      </c>
      <c r="I567">
        <v>2</v>
      </c>
      <c r="J567">
        <v>15</v>
      </c>
      <c r="K567">
        <v>20</v>
      </c>
      <c r="L567">
        <v>11900</v>
      </c>
      <c r="M567">
        <v>12304.95</v>
      </c>
      <c r="N567">
        <f t="shared" si="9"/>
        <v>-404.95000000000073</v>
      </c>
      <c r="O567" t="s">
        <v>38</v>
      </c>
      <c r="P567" t="s">
        <v>24</v>
      </c>
      <c r="Q567" t="s">
        <v>39</v>
      </c>
    </row>
    <row r="568" spans="1:17" x14ac:dyDescent="0.3">
      <c r="A568" t="s">
        <v>646</v>
      </c>
      <c r="B568" s="1">
        <v>45410</v>
      </c>
      <c r="C568" t="s">
        <v>49</v>
      </c>
      <c r="D568" t="s">
        <v>35</v>
      </c>
      <c r="E568" t="s">
        <v>50</v>
      </c>
      <c r="F568" t="s">
        <v>21</v>
      </c>
      <c r="G568" t="s">
        <v>51</v>
      </c>
      <c r="H568">
        <v>4500</v>
      </c>
      <c r="I568">
        <v>5</v>
      </c>
      <c r="J568">
        <v>15</v>
      </c>
      <c r="K568">
        <v>10</v>
      </c>
      <c r="L568">
        <v>19125</v>
      </c>
      <c r="M568">
        <v>17295.05</v>
      </c>
      <c r="N568">
        <f t="shared" si="9"/>
        <v>1829.9500000000007</v>
      </c>
      <c r="O568" t="s">
        <v>23</v>
      </c>
      <c r="P568" t="s">
        <v>31</v>
      </c>
      <c r="Q568" t="s">
        <v>32</v>
      </c>
    </row>
    <row r="569" spans="1:17" x14ac:dyDescent="0.3">
      <c r="A569" t="s">
        <v>647</v>
      </c>
      <c r="B569" s="1">
        <v>45375</v>
      </c>
      <c r="C569" t="s">
        <v>53</v>
      </c>
      <c r="D569" t="s">
        <v>19</v>
      </c>
      <c r="E569" t="s">
        <v>57</v>
      </c>
      <c r="F569" t="s">
        <v>46</v>
      </c>
      <c r="G569" t="s">
        <v>58</v>
      </c>
      <c r="H569">
        <v>18000</v>
      </c>
      <c r="I569">
        <v>3</v>
      </c>
      <c r="J569">
        <v>5</v>
      </c>
      <c r="K569">
        <v>0</v>
      </c>
      <c r="L569">
        <v>51300</v>
      </c>
      <c r="M569">
        <v>51962.559999999998</v>
      </c>
      <c r="N569">
        <f t="shared" si="9"/>
        <v>-662.55999999999767</v>
      </c>
      <c r="O569" t="s">
        <v>23</v>
      </c>
      <c r="P569" t="s">
        <v>24</v>
      </c>
      <c r="Q569" t="s">
        <v>25</v>
      </c>
    </row>
    <row r="570" spans="1:17" x14ac:dyDescent="0.3">
      <c r="A570" t="s">
        <v>648</v>
      </c>
      <c r="B570" s="1">
        <v>45422</v>
      </c>
      <c r="C570" t="s">
        <v>53</v>
      </c>
      <c r="D570" t="s">
        <v>35</v>
      </c>
      <c r="E570" t="s">
        <v>90</v>
      </c>
      <c r="F570" t="s">
        <v>29</v>
      </c>
      <c r="G570" t="s">
        <v>37</v>
      </c>
      <c r="H570">
        <v>6500</v>
      </c>
      <c r="I570">
        <v>12</v>
      </c>
      <c r="J570">
        <v>10</v>
      </c>
      <c r="K570">
        <v>0</v>
      </c>
      <c r="L570">
        <v>70200</v>
      </c>
      <c r="M570">
        <v>63511.06</v>
      </c>
      <c r="N570">
        <f t="shared" si="9"/>
        <v>6688.9400000000023</v>
      </c>
      <c r="O570" t="s">
        <v>23</v>
      </c>
      <c r="P570" t="s">
        <v>31</v>
      </c>
      <c r="Q570" t="s">
        <v>32</v>
      </c>
    </row>
    <row r="571" spans="1:17" x14ac:dyDescent="0.3">
      <c r="A571" t="s">
        <v>649</v>
      </c>
      <c r="B571" s="1">
        <v>45432</v>
      </c>
      <c r="C571" t="s">
        <v>53</v>
      </c>
      <c r="D571" t="s">
        <v>27</v>
      </c>
      <c r="E571" t="s">
        <v>81</v>
      </c>
      <c r="F571" t="s">
        <v>21</v>
      </c>
      <c r="G571" t="s">
        <v>82</v>
      </c>
      <c r="H571">
        <v>8000</v>
      </c>
      <c r="I571">
        <v>8</v>
      </c>
      <c r="J571">
        <v>10</v>
      </c>
      <c r="K571">
        <v>25</v>
      </c>
      <c r="L571">
        <v>57600</v>
      </c>
      <c r="M571">
        <v>51055.96</v>
      </c>
      <c r="N571">
        <f t="shared" si="9"/>
        <v>6544.0400000000009</v>
      </c>
      <c r="O571" t="s">
        <v>38</v>
      </c>
      <c r="P571" t="s">
        <v>31</v>
      </c>
      <c r="Q571" t="s">
        <v>39</v>
      </c>
    </row>
    <row r="572" spans="1:17" x14ac:dyDescent="0.3">
      <c r="A572" t="s">
        <v>650</v>
      </c>
      <c r="B572" s="1">
        <v>45310</v>
      </c>
      <c r="C572" t="s">
        <v>34</v>
      </c>
      <c r="D572" t="s">
        <v>35</v>
      </c>
      <c r="E572" t="s">
        <v>54</v>
      </c>
      <c r="F572" t="s">
        <v>46</v>
      </c>
      <c r="G572" t="s">
        <v>55</v>
      </c>
      <c r="H572">
        <v>4500</v>
      </c>
      <c r="I572">
        <v>9</v>
      </c>
      <c r="J572">
        <v>5</v>
      </c>
      <c r="K572">
        <v>20</v>
      </c>
      <c r="L572">
        <v>38475</v>
      </c>
      <c r="M572">
        <v>40200.199999999997</v>
      </c>
      <c r="N572">
        <f t="shared" si="9"/>
        <v>-1725.1999999999971</v>
      </c>
      <c r="O572" t="s">
        <v>38</v>
      </c>
      <c r="P572" t="s">
        <v>24</v>
      </c>
      <c r="Q572" t="s">
        <v>39</v>
      </c>
    </row>
    <row r="573" spans="1:17" x14ac:dyDescent="0.3">
      <c r="A573" t="s">
        <v>651</v>
      </c>
      <c r="B573" s="1">
        <v>45420</v>
      </c>
      <c r="C573" t="s">
        <v>49</v>
      </c>
      <c r="D573" t="s">
        <v>70</v>
      </c>
      <c r="E573" t="s">
        <v>102</v>
      </c>
      <c r="F573" t="s">
        <v>29</v>
      </c>
      <c r="G573" t="s">
        <v>43</v>
      </c>
      <c r="H573">
        <v>1500</v>
      </c>
      <c r="I573">
        <v>5</v>
      </c>
      <c r="J573">
        <v>15</v>
      </c>
      <c r="K573">
        <v>0</v>
      </c>
      <c r="L573">
        <v>6375</v>
      </c>
      <c r="M573">
        <v>6326.5</v>
      </c>
      <c r="N573">
        <f t="shared" si="9"/>
        <v>48.5</v>
      </c>
      <c r="O573" t="s">
        <v>23</v>
      </c>
      <c r="P573" t="s">
        <v>31</v>
      </c>
      <c r="Q573" t="s">
        <v>32</v>
      </c>
    </row>
    <row r="574" spans="1:17" x14ac:dyDescent="0.3">
      <c r="A574" t="s">
        <v>652</v>
      </c>
      <c r="B574" s="1">
        <v>45461</v>
      </c>
      <c r="C574" t="s">
        <v>49</v>
      </c>
      <c r="D574" t="s">
        <v>35</v>
      </c>
      <c r="E574" t="s">
        <v>45</v>
      </c>
      <c r="F574" t="s">
        <v>46</v>
      </c>
      <c r="G574" t="s">
        <v>47</v>
      </c>
      <c r="H574">
        <v>15000</v>
      </c>
      <c r="I574">
        <v>2</v>
      </c>
      <c r="J574">
        <v>5</v>
      </c>
      <c r="K574">
        <v>5</v>
      </c>
      <c r="L574">
        <v>28500</v>
      </c>
      <c r="M574">
        <v>26287.4</v>
      </c>
      <c r="N574">
        <f t="shared" si="9"/>
        <v>2212.5999999999985</v>
      </c>
      <c r="O574" t="s">
        <v>23</v>
      </c>
      <c r="P574" t="s">
        <v>31</v>
      </c>
      <c r="Q574" t="s">
        <v>32</v>
      </c>
    </row>
    <row r="575" spans="1:17" x14ac:dyDescent="0.3">
      <c r="A575" t="s">
        <v>653</v>
      </c>
      <c r="B575" s="1">
        <v>45415</v>
      </c>
      <c r="C575" t="s">
        <v>34</v>
      </c>
      <c r="D575" t="s">
        <v>92</v>
      </c>
      <c r="E575" t="s">
        <v>45</v>
      </c>
      <c r="F575" t="s">
        <v>46</v>
      </c>
      <c r="G575" t="s">
        <v>47</v>
      </c>
      <c r="H575">
        <v>15000</v>
      </c>
      <c r="I575">
        <v>1</v>
      </c>
      <c r="J575">
        <v>10</v>
      </c>
      <c r="K575">
        <v>10</v>
      </c>
      <c r="L575">
        <v>13500</v>
      </c>
      <c r="M575">
        <v>11758.91</v>
      </c>
      <c r="N575">
        <f t="shared" si="9"/>
        <v>1741.0900000000001</v>
      </c>
      <c r="O575" t="s">
        <v>23</v>
      </c>
      <c r="P575" t="s">
        <v>31</v>
      </c>
      <c r="Q575" t="s">
        <v>32</v>
      </c>
    </row>
    <row r="576" spans="1:17" x14ac:dyDescent="0.3">
      <c r="A576" t="s">
        <v>654</v>
      </c>
      <c r="B576" s="1">
        <v>45322</v>
      </c>
      <c r="C576" t="s">
        <v>53</v>
      </c>
      <c r="D576" t="s">
        <v>92</v>
      </c>
      <c r="E576" t="s">
        <v>140</v>
      </c>
      <c r="F576" t="s">
        <v>141</v>
      </c>
      <c r="G576" t="s">
        <v>142</v>
      </c>
      <c r="H576">
        <v>12000</v>
      </c>
      <c r="I576">
        <v>4</v>
      </c>
      <c r="J576">
        <v>5</v>
      </c>
      <c r="K576">
        <v>15</v>
      </c>
      <c r="L576">
        <v>45600</v>
      </c>
      <c r="M576">
        <v>46200.87</v>
      </c>
      <c r="N576">
        <f t="shared" si="9"/>
        <v>-600.87000000000262</v>
      </c>
      <c r="O576" t="s">
        <v>38</v>
      </c>
      <c r="P576" t="s">
        <v>24</v>
      </c>
      <c r="Q576" t="s">
        <v>39</v>
      </c>
    </row>
    <row r="577" spans="1:17" x14ac:dyDescent="0.3">
      <c r="A577" t="s">
        <v>655</v>
      </c>
      <c r="B577" s="1">
        <v>45358</v>
      </c>
      <c r="C577" t="s">
        <v>18</v>
      </c>
      <c r="D577" t="s">
        <v>27</v>
      </c>
      <c r="E577" t="s">
        <v>71</v>
      </c>
      <c r="F577" t="s">
        <v>21</v>
      </c>
      <c r="G577" t="s">
        <v>72</v>
      </c>
      <c r="H577">
        <v>60000</v>
      </c>
      <c r="I577">
        <v>11</v>
      </c>
      <c r="J577">
        <v>10</v>
      </c>
      <c r="K577">
        <v>25</v>
      </c>
      <c r="L577">
        <v>594000</v>
      </c>
      <c r="M577">
        <v>599334.02</v>
      </c>
      <c r="N577">
        <f t="shared" si="9"/>
        <v>-5334.0200000000186</v>
      </c>
      <c r="O577" t="s">
        <v>38</v>
      </c>
      <c r="P577" t="s">
        <v>24</v>
      </c>
      <c r="Q577" t="s">
        <v>39</v>
      </c>
    </row>
    <row r="578" spans="1:17" x14ac:dyDescent="0.3">
      <c r="A578" t="s">
        <v>656</v>
      </c>
      <c r="B578" s="1">
        <v>45413</v>
      </c>
      <c r="C578" t="s">
        <v>18</v>
      </c>
      <c r="D578" t="s">
        <v>27</v>
      </c>
      <c r="E578" t="s">
        <v>61</v>
      </c>
      <c r="F578" t="s">
        <v>29</v>
      </c>
      <c r="G578" t="s">
        <v>43</v>
      </c>
      <c r="H578">
        <v>2800</v>
      </c>
      <c r="I578">
        <v>7</v>
      </c>
      <c r="J578">
        <v>5</v>
      </c>
      <c r="K578">
        <v>0</v>
      </c>
      <c r="L578">
        <v>18620</v>
      </c>
      <c r="M578">
        <v>16960.91</v>
      </c>
      <c r="N578">
        <f t="shared" si="9"/>
        <v>1659.0900000000001</v>
      </c>
      <c r="O578" t="s">
        <v>23</v>
      </c>
      <c r="P578" t="s">
        <v>31</v>
      </c>
      <c r="Q578" t="s">
        <v>32</v>
      </c>
    </row>
    <row r="579" spans="1:17" x14ac:dyDescent="0.3">
      <c r="A579" t="s">
        <v>657</v>
      </c>
      <c r="B579" s="1">
        <v>45392</v>
      </c>
      <c r="C579" t="s">
        <v>18</v>
      </c>
      <c r="D579" t="s">
        <v>27</v>
      </c>
      <c r="E579" t="s">
        <v>36</v>
      </c>
      <c r="F579" t="s">
        <v>29</v>
      </c>
      <c r="G579" t="s">
        <v>37</v>
      </c>
      <c r="H579">
        <v>1200</v>
      </c>
      <c r="I579">
        <v>11</v>
      </c>
      <c r="J579">
        <v>15</v>
      </c>
      <c r="K579">
        <v>10</v>
      </c>
      <c r="L579">
        <v>11220</v>
      </c>
      <c r="M579">
        <v>10159.39</v>
      </c>
      <c r="N579">
        <f t="shared" ref="N579:N642" si="10">L579-M579</f>
        <v>1060.6100000000006</v>
      </c>
      <c r="O579" t="s">
        <v>23</v>
      </c>
      <c r="P579" t="s">
        <v>31</v>
      </c>
      <c r="Q579" t="s">
        <v>32</v>
      </c>
    </row>
    <row r="580" spans="1:17" x14ac:dyDescent="0.3">
      <c r="A580" t="s">
        <v>658</v>
      </c>
      <c r="B580" s="1">
        <v>45301</v>
      </c>
      <c r="C580" t="s">
        <v>34</v>
      </c>
      <c r="D580" t="s">
        <v>41</v>
      </c>
      <c r="E580" t="s">
        <v>71</v>
      </c>
      <c r="F580" t="s">
        <v>21</v>
      </c>
      <c r="G580" t="s">
        <v>72</v>
      </c>
      <c r="H580">
        <v>60000</v>
      </c>
      <c r="I580">
        <v>14</v>
      </c>
      <c r="J580">
        <v>10</v>
      </c>
      <c r="K580">
        <v>20</v>
      </c>
      <c r="L580">
        <v>756000</v>
      </c>
      <c r="M580">
        <v>748515.69</v>
      </c>
      <c r="N580">
        <f t="shared" si="10"/>
        <v>7484.3100000000559</v>
      </c>
      <c r="O580" t="s">
        <v>38</v>
      </c>
      <c r="P580" t="s">
        <v>31</v>
      </c>
      <c r="Q580" t="s">
        <v>39</v>
      </c>
    </row>
    <row r="581" spans="1:17" x14ac:dyDescent="0.3">
      <c r="A581" t="s">
        <v>659</v>
      </c>
      <c r="B581" s="1">
        <v>45465</v>
      </c>
      <c r="C581" t="s">
        <v>49</v>
      </c>
      <c r="D581" t="s">
        <v>70</v>
      </c>
      <c r="E581" t="s">
        <v>54</v>
      </c>
      <c r="F581" t="s">
        <v>46</v>
      </c>
      <c r="G581" t="s">
        <v>55</v>
      </c>
      <c r="H581">
        <v>4500</v>
      </c>
      <c r="I581">
        <v>7</v>
      </c>
      <c r="J581">
        <v>15</v>
      </c>
      <c r="K581">
        <v>0</v>
      </c>
      <c r="L581">
        <v>26775</v>
      </c>
      <c r="M581">
        <v>27428.17</v>
      </c>
      <c r="N581">
        <f t="shared" si="10"/>
        <v>-653.16999999999825</v>
      </c>
      <c r="O581" t="s">
        <v>23</v>
      </c>
      <c r="P581" t="s">
        <v>24</v>
      </c>
      <c r="Q581" t="s">
        <v>25</v>
      </c>
    </row>
    <row r="582" spans="1:17" x14ac:dyDescent="0.3">
      <c r="A582" t="s">
        <v>660</v>
      </c>
      <c r="B582" s="1">
        <v>45457</v>
      </c>
      <c r="C582" t="s">
        <v>53</v>
      </c>
      <c r="D582" t="s">
        <v>70</v>
      </c>
      <c r="E582" t="s">
        <v>155</v>
      </c>
      <c r="F582" t="s">
        <v>21</v>
      </c>
      <c r="G582" t="s">
        <v>72</v>
      </c>
      <c r="H582">
        <v>35000</v>
      </c>
      <c r="I582">
        <v>1</v>
      </c>
      <c r="J582">
        <v>5</v>
      </c>
      <c r="K582">
        <v>0</v>
      </c>
      <c r="L582">
        <v>33250</v>
      </c>
      <c r="M582">
        <v>32218.5</v>
      </c>
      <c r="N582">
        <f t="shared" si="10"/>
        <v>1031.5</v>
      </c>
      <c r="O582" t="s">
        <v>23</v>
      </c>
      <c r="P582" t="s">
        <v>31</v>
      </c>
      <c r="Q582" t="s">
        <v>32</v>
      </c>
    </row>
    <row r="583" spans="1:17" x14ac:dyDescent="0.3">
      <c r="A583" t="s">
        <v>661</v>
      </c>
      <c r="B583" s="1">
        <v>45381</v>
      </c>
      <c r="C583" t="s">
        <v>49</v>
      </c>
      <c r="D583" t="s">
        <v>41</v>
      </c>
      <c r="E583" t="s">
        <v>61</v>
      </c>
      <c r="F583" t="s">
        <v>29</v>
      </c>
      <c r="G583" t="s">
        <v>43</v>
      </c>
      <c r="H583">
        <v>2800</v>
      </c>
      <c r="I583">
        <v>3</v>
      </c>
      <c r="J583">
        <v>10</v>
      </c>
      <c r="K583">
        <v>15</v>
      </c>
      <c r="L583">
        <v>7560</v>
      </c>
      <c r="M583">
        <v>7440.91</v>
      </c>
      <c r="N583">
        <f t="shared" si="10"/>
        <v>119.09000000000015</v>
      </c>
      <c r="O583" t="s">
        <v>38</v>
      </c>
      <c r="P583" t="s">
        <v>31</v>
      </c>
      <c r="Q583" t="s">
        <v>39</v>
      </c>
    </row>
    <row r="584" spans="1:17" x14ac:dyDescent="0.3">
      <c r="A584" t="s">
        <v>662</v>
      </c>
      <c r="B584" s="1">
        <v>45369</v>
      </c>
      <c r="C584" t="s">
        <v>53</v>
      </c>
      <c r="D584" t="s">
        <v>35</v>
      </c>
      <c r="E584" t="s">
        <v>54</v>
      </c>
      <c r="F584" t="s">
        <v>46</v>
      </c>
      <c r="G584" t="s">
        <v>55</v>
      </c>
      <c r="H584">
        <v>4500</v>
      </c>
      <c r="I584">
        <v>14</v>
      </c>
      <c r="J584">
        <v>10</v>
      </c>
      <c r="K584">
        <v>10</v>
      </c>
      <c r="L584">
        <v>56700</v>
      </c>
      <c r="M584">
        <v>51324.49</v>
      </c>
      <c r="N584">
        <f t="shared" si="10"/>
        <v>5375.510000000002</v>
      </c>
      <c r="O584" t="s">
        <v>23</v>
      </c>
      <c r="P584" t="s">
        <v>31</v>
      </c>
      <c r="Q584" t="s">
        <v>32</v>
      </c>
    </row>
    <row r="585" spans="1:17" x14ac:dyDescent="0.3">
      <c r="A585" t="s">
        <v>663</v>
      </c>
      <c r="B585" s="1">
        <v>45388</v>
      </c>
      <c r="C585" t="s">
        <v>53</v>
      </c>
      <c r="D585" t="s">
        <v>27</v>
      </c>
      <c r="E585" t="s">
        <v>71</v>
      </c>
      <c r="F585" t="s">
        <v>21</v>
      </c>
      <c r="G585" t="s">
        <v>72</v>
      </c>
      <c r="H585">
        <v>60000</v>
      </c>
      <c r="I585">
        <v>12</v>
      </c>
      <c r="J585">
        <v>10</v>
      </c>
      <c r="K585">
        <v>15</v>
      </c>
      <c r="L585">
        <v>648000</v>
      </c>
      <c r="M585">
        <v>558752.92000000004</v>
      </c>
      <c r="N585">
        <f t="shared" si="10"/>
        <v>89247.079999999958</v>
      </c>
      <c r="O585" t="s">
        <v>38</v>
      </c>
      <c r="P585" t="s">
        <v>31</v>
      </c>
      <c r="Q585" t="s">
        <v>39</v>
      </c>
    </row>
    <row r="586" spans="1:17" x14ac:dyDescent="0.3">
      <c r="A586" t="s">
        <v>664</v>
      </c>
      <c r="B586" s="1">
        <v>45468</v>
      </c>
      <c r="C586" t="s">
        <v>34</v>
      </c>
      <c r="D586" t="s">
        <v>35</v>
      </c>
      <c r="E586" t="s">
        <v>107</v>
      </c>
      <c r="F586" t="s">
        <v>108</v>
      </c>
      <c r="G586" t="s">
        <v>109</v>
      </c>
      <c r="H586">
        <v>18000</v>
      </c>
      <c r="I586">
        <v>11</v>
      </c>
      <c r="J586">
        <v>10</v>
      </c>
      <c r="K586">
        <v>5</v>
      </c>
      <c r="L586">
        <v>178200</v>
      </c>
      <c r="M586">
        <v>186464.3</v>
      </c>
      <c r="N586">
        <f t="shared" si="10"/>
        <v>-8264.2999999999884</v>
      </c>
      <c r="O586" t="s">
        <v>23</v>
      </c>
      <c r="P586" t="s">
        <v>24</v>
      </c>
      <c r="Q586" t="s">
        <v>25</v>
      </c>
    </row>
    <row r="587" spans="1:17" x14ac:dyDescent="0.3">
      <c r="A587" t="s">
        <v>665</v>
      </c>
      <c r="B587" s="1">
        <v>45358</v>
      </c>
      <c r="C587" t="s">
        <v>49</v>
      </c>
      <c r="D587" t="s">
        <v>35</v>
      </c>
      <c r="E587" t="s">
        <v>90</v>
      </c>
      <c r="F587" t="s">
        <v>29</v>
      </c>
      <c r="G587" t="s">
        <v>37</v>
      </c>
      <c r="H587">
        <v>6500</v>
      </c>
      <c r="I587">
        <v>11</v>
      </c>
      <c r="J587">
        <v>15</v>
      </c>
      <c r="K587">
        <v>0</v>
      </c>
      <c r="L587">
        <v>60775</v>
      </c>
      <c r="M587">
        <v>57219.62</v>
      </c>
      <c r="N587">
        <f t="shared" si="10"/>
        <v>3555.3799999999974</v>
      </c>
      <c r="O587" t="s">
        <v>23</v>
      </c>
      <c r="P587" t="s">
        <v>31</v>
      </c>
      <c r="Q587" t="s">
        <v>32</v>
      </c>
    </row>
    <row r="588" spans="1:17" x14ac:dyDescent="0.3">
      <c r="A588" t="s">
        <v>666</v>
      </c>
      <c r="B588" s="1">
        <v>45431</v>
      </c>
      <c r="C588" t="s">
        <v>53</v>
      </c>
      <c r="D588" t="s">
        <v>35</v>
      </c>
      <c r="E588" t="s">
        <v>100</v>
      </c>
      <c r="F588" t="s">
        <v>46</v>
      </c>
      <c r="G588" t="s">
        <v>55</v>
      </c>
      <c r="H588">
        <v>2500</v>
      </c>
      <c r="I588">
        <v>13</v>
      </c>
      <c r="J588">
        <v>10</v>
      </c>
      <c r="K588">
        <v>15</v>
      </c>
      <c r="L588">
        <v>29250</v>
      </c>
      <c r="M588">
        <v>29088.54</v>
      </c>
      <c r="N588">
        <f t="shared" si="10"/>
        <v>161.45999999999913</v>
      </c>
      <c r="O588" t="s">
        <v>38</v>
      </c>
      <c r="P588" t="s">
        <v>31</v>
      </c>
      <c r="Q588" t="s">
        <v>39</v>
      </c>
    </row>
    <row r="589" spans="1:17" x14ac:dyDescent="0.3">
      <c r="A589" t="s">
        <v>667</v>
      </c>
      <c r="B589" s="1">
        <v>45356</v>
      </c>
      <c r="C589" t="s">
        <v>49</v>
      </c>
      <c r="D589" t="s">
        <v>92</v>
      </c>
      <c r="E589" t="s">
        <v>129</v>
      </c>
      <c r="F589" t="s">
        <v>21</v>
      </c>
      <c r="G589" t="s">
        <v>82</v>
      </c>
      <c r="H589">
        <v>3500</v>
      </c>
      <c r="I589">
        <v>3</v>
      </c>
      <c r="J589">
        <v>15</v>
      </c>
      <c r="K589">
        <v>5</v>
      </c>
      <c r="L589">
        <v>8925</v>
      </c>
      <c r="M589">
        <v>9327.09</v>
      </c>
      <c r="N589">
        <f t="shared" si="10"/>
        <v>-402.09000000000015</v>
      </c>
      <c r="O589" t="s">
        <v>23</v>
      </c>
      <c r="P589" t="s">
        <v>24</v>
      </c>
      <c r="Q589" t="s">
        <v>25</v>
      </c>
    </row>
    <row r="590" spans="1:17" x14ac:dyDescent="0.3">
      <c r="A590" t="s">
        <v>668</v>
      </c>
      <c r="B590" s="1">
        <v>45340</v>
      </c>
      <c r="C590" t="s">
        <v>53</v>
      </c>
      <c r="D590" t="s">
        <v>27</v>
      </c>
      <c r="E590" t="s">
        <v>140</v>
      </c>
      <c r="F590" t="s">
        <v>141</v>
      </c>
      <c r="G590" t="s">
        <v>142</v>
      </c>
      <c r="H590">
        <v>12000</v>
      </c>
      <c r="I590">
        <v>11</v>
      </c>
      <c r="J590">
        <v>5</v>
      </c>
      <c r="K590">
        <v>25</v>
      </c>
      <c r="L590">
        <v>125400</v>
      </c>
      <c r="M590">
        <v>113639.89</v>
      </c>
      <c r="N590">
        <f t="shared" si="10"/>
        <v>11760.11</v>
      </c>
      <c r="O590" t="s">
        <v>38</v>
      </c>
      <c r="P590" t="s">
        <v>31</v>
      </c>
      <c r="Q590" t="s">
        <v>39</v>
      </c>
    </row>
    <row r="591" spans="1:17" x14ac:dyDescent="0.3">
      <c r="A591" t="s">
        <v>669</v>
      </c>
      <c r="B591" s="1">
        <v>45364</v>
      </c>
      <c r="C591" t="s">
        <v>53</v>
      </c>
      <c r="D591" t="s">
        <v>92</v>
      </c>
      <c r="E591" t="s">
        <v>90</v>
      </c>
      <c r="F591" t="s">
        <v>29</v>
      </c>
      <c r="G591" t="s">
        <v>37</v>
      </c>
      <c r="H591">
        <v>6500</v>
      </c>
      <c r="I591">
        <v>7</v>
      </c>
      <c r="J591">
        <v>5</v>
      </c>
      <c r="K591">
        <v>0</v>
      </c>
      <c r="L591">
        <v>43225</v>
      </c>
      <c r="M591">
        <v>38242.51</v>
      </c>
      <c r="N591">
        <f t="shared" si="10"/>
        <v>4982.489999999998</v>
      </c>
      <c r="O591" t="s">
        <v>23</v>
      </c>
      <c r="P591" t="s">
        <v>31</v>
      </c>
      <c r="Q591" t="s">
        <v>32</v>
      </c>
    </row>
    <row r="592" spans="1:17" x14ac:dyDescent="0.3">
      <c r="A592" t="s">
        <v>670</v>
      </c>
      <c r="B592" s="1">
        <v>45435</v>
      </c>
      <c r="C592" t="s">
        <v>34</v>
      </c>
      <c r="D592" t="s">
        <v>41</v>
      </c>
      <c r="E592" t="s">
        <v>90</v>
      </c>
      <c r="F592" t="s">
        <v>29</v>
      </c>
      <c r="G592" t="s">
        <v>37</v>
      </c>
      <c r="H592">
        <v>6500</v>
      </c>
      <c r="I592">
        <v>3</v>
      </c>
      <c r="J592">
        <v>10</v>
      </c>
      <c r="K592">
        <v>15</v>
      </c>
      <c r="L592">
        <v>17550</v>
      </c>
      <c r="M592">
        <v>17700.77</v>
      </c>
      <c r="N592">
        <f t="shared" si="10"/>
        <v>-150.77000000000044</v>
      </c>
      <c r="O592" t="s">
        <v>38</v>
      </c>
      <c r="P592" t="s">
        <v>24</v>
      </c>
      <c r="Q592" t="s">
        <v>39</v>
      </c>
    </row>
    <row r="593" spans="1:17" x14ac:dyDescent="0.3">
      <c r="A593" t="s">
        <v>671</v>
      </c>
      <c r="B593" s="1">
        <v>45466</v>
      </c>
      <c r="C593" t="s">
        <v>53</v>
      </c>
      <c r="D593" t="s">
        <v>70</v>
      </c>
      <c r="E593" t="s">
        <v>42</v>
      </c>
      <c r="F593" t="s">
        <v>29</v>
      </c>
      <c r="G593" t="s">
        <v>43</v>
      </c>
      <c r="H593">
        <v>500</v>
      </c>
      <c r="I593">
        <v>11</v>
      </c>
      <c r="J593">
        <v>15</v>
      </c>
      <c r="K593">
        <v>5</v>
      </c>
      <c r="L593">
        <v>4675</v>
      </c>
      <c r="M593">
        <v>4878.3</v>
      </c>
      <c r="N593">
        <f t="shared" si="10"/>
        <v>-203.30000000000018</v>
      </c>
      <c r="O593" t="s">
        <v>23</v>
      </c>
      <c r="P593" t="s">
        <v>24</v>
      </c>
      <c r="Q593" t="s">
        <v>25</v>
      </c>
    </row>
    <row r="594" spans="1:17" x14ac:dyDescent="0.3">
      <c r="A594" t="s">
        <v>672</v>
      </c>
      <c r="B594" s="1">
        <v>45352</v>
      </c>
      <c r="C594" t="s">
        <v>49</v>
      </c>
      <c r="D594" t="s">
        <v>27</v>
      </c>
      <c r="E594" t="s">
        <v>155</v>
      </c>
      <c r="F594" t="s">
        <v>21</v>
      </c>
      <c r="G594" t="s">
        <v>72</v>
      </c>
      <c r="H594">
        <v>35000</v>
      </c>
      <c r="I594">
        <v>12</v>
      </c>
      <c r="J594">
        <v>15</v>
      </c>
      <c r="K594">
        <v>10</v>
      </c>
      <c r="L594">
        <v>357000</v>
      </c>
      <c r="M594">
        <v>305526.55</v>
      </c>
      <c r="N594">
        <f t="shared" si="10"/>
        <v>51473.450000000012</v>
      </c>
      <c r="O594" t="s">
        <v>23</v>
      </c>
      <c r="P594" t="s">
        <v>31</v>
      </c>
      <c r="Q594" t="s">
        <v>32</v>
      </c>
    </row>
    <row r="595" spans="1:17" x14ac:dyDescent="0.3">
      <c r="A595" t="s">
        <v>673</v>
      </c>
      <c r="B595" s="1">
        <v>45361</v>
      </c>
      <c r="C595" t="s">
        <v>18</v>
      </c>
      <c r="D595" t="s">
        <v>92</v>
      </c>
      <c r="E595" t="s">
        <v>104</v>
      </c>
      <c r="F595" t="s">
        <v>29</v>
      </c>
      <c r="G595" t="s">
        <v>30</v>
      </c>
      <c r="H595">
        <v>1200</v>
      </c>
      <c r="I595">
        <v>10</v>
      </c>
      <c r="J595">
        <v>5</v>
      </c>
      <c r="K595">
        <v>15</v>
      </c>
      <c r="L595">
        <v>11400</v>
      </c>
      <c r="M595">
        <v>10811.62</v>
      </c>
      <c r="N595">
        <f t="shared" si="10"/>
        <v>588.3799999999992</v>
      </c>
      <c r="O595" t="s">
        <v>38</v>
      </c>
      <c r="P595" t="s">
        <v>31</v>
      </c>
      <c r="Q595" t="s">
        <v>39</v>
      </c>
    </row>
    <row r="596" spans="1:17" x14ac:dyDescent="0.3">
      <c r="A596" t="s">
        <v>674</v>
      </c>
      <c r="B596" s="1">
        <v>45443</v>
      </c>
      <c r="C596" t="s">
        <v>49</v>
      </c>
      <c r="D596" t="s">
        <v>27</v>
      </c>
      <c r="E596" t="s">
        <v>67</v>
      </c>
      <c r="F596" t="s">
        <v>29</v>
      </c>
      <c r="G596" t="s">
        <v>68</v>
      </c>
      <c r="H596">
        <v>1200</v>
      </c>
      <c r="I596">
        <v>9</v>
      </c>
      <c r="J596">
        <v>10</v>
      </c>
      <c r="K596">
        <v>10</v>
      </c>
      <c r="L596">
        <v>9720</v>
      </c>
      <c r="M596">
        <v>9122.94</v>
      </c>
      <c r="N596">
        <f t="shared" si="10"/>
        <v>597.05999999999949</v>
      </c>
      <c r="O596" t="s">
        <v>23</v>
      </c>
      <c r="P596" t="s">
        <v>31</v>
      </c>
      <c r="Q596" t="s">
        <v>32</v>
      </c>
    </row>
    <row r="597" spans="1:17" x14ac:dyDescent="0.3">
      <c r="A597" t="s">
        <v>675</v>
      </c>
      <c r="B597" s="1">
        <v>45333</v>
      </c>
      <c r="C597" t="s">
        <v>49</v>
      </c>
      <c r="D597" t="s">
        <v>19</v>
      </c>
      <c r="E597" t="s">
        <v>61</v>
      </c>
      <c r="F597" t="s">
        <v>29</v>
      </c>
      <c r="G597" t="s">
        <v>43</v>
      </c>
      <c r="H597">
        <v>2800</v>
      </c>
      <c r="I597">
        <v>14</v>
      </c>
      <c r="J597">
        <v>10</v>
      </c>
      <c r="K597">
        <v>5</v>
      </c>
      <c r="L597">
        <v>35280</v>
      </c>
      <c r="M597">
        <v>32117.94</v>
      </c>
      <c r="N597">
        <f t="shared" si="10"/>
        <v>3162.0600000000013</v>
      </c>
      <c r="O597" t="s">
        <v>23</v>
      </c>
      <c r="P597" t="s">
        <v>31</v>
      </c>
      <c r="Q597" t="s">
        <v>32</v>
      </c>
    </row>
    <row r="598" spans="1:17" x14ac:dyDescent="0.3">
      <c r="A598" t="s">
        <v>676</v>
      </c>
      <c r="B598" s="1">
        <v>45325</v>
      </c>
      <c r="C598" t="s">
        <v>34</v>
      </c>
      <c r="D598" t="s">
        <v>27</v>
      </c>
      <c r="E598" t="s">
        <v>100</v>
      </c>
      <c r="F598" t="s">
        <v>46</v>
      </c>
      <c r="G598" t="s">
        <v>55</v>
      </c>
      <c r="H598">
        <v>2500</v>
      </c>
      <c r="I598">
        <v>1</v>
      </c>
      <c r="J598">
        <v>5</v>
      </c>
      <c r="K598">
        <v>25</v>
      </c>
      <c r="L598">
        <v>2375</v>
      </c>
      <c r="M598">
        <v>2157.0100000000002</v>
      </c>
      <c r="N598">
        <f t="shared" si="10"/>
        <v>217.98999999999978</v>
      </c>
      <c r="O598" t="s">
        <v>38</v>
      </c>
      <c r="P598" t="s">
        <v>31</v>
      </c>
      <c r="Q598" t="s">
        <v>39</v>
      </c>
    </row>
    <row r="599" spans="1:17" x14ac:dyDescent="0.3">
      <c r="A599" t="s">
        <v>677</v>
      </c>
      <c r="B599" s="1">
        <v>45388</v>
      </c>
      <c r="C599" t="s">
        <v>49</v>
      </c>
      <c r="D599" t="s">
        <v>41</v>
      </c>
      <c r="E599" t="s">
        <v>71</v>
      </c>
      <c r="F599" t="s">
        <v>21</v>
      </c>
      <c r="G599" t="s">
        <v>72</v>
      </c>
      <c r="H599">
        <v>60000</v>
      </c>
      <c r="I599">
        <v>11</v>
      </c>
      <c r="J599">
        <v>15</v>
      </c>
      <c r="K599">
        <v>15</v>
      </c>
      <c r="L599">
        <v>561000</v>
      </c>
      <c r="M599">
        <v>555713.25</v>
      </c>
      <c r="N599">
        <f t="shared" si="10"/>
        <v>5286.75</v>
      </c>
      <c r="O599" t="s">
        <v>23</v>
      </c>
      <c r="P599" t="s">
        <v>31</v>
      </c>
      <c r="Q599" t="s">
        <v>32</v>
      </c>
    </row>
    <row r="600" spans="1:17" x14ac:dyDescent="0.3">
      <c r="A600" t="s">
        <v>678</v>
      </c>
      <c r="B600" s="1">
        <v>45339</v>
      </c>
      <c r="C600" t="s">
        <v>18</v>
      </c>
      <c r="D600" t="s">
        <v>41</v>
      </c>
      <c r="E600" t="s">
        <v>102</v>
      </c>
      <c r="F600" t="s">
        <v>29</v>
      </c>
      <c r="G600" t="s">
        <v>43</v>
      </c>
      <c r="H600">
        <v>1500</v>
      </c>
      <c r="I600">
        <v>9</v>
      </c>
      <c r="J600">
        <v>5</v>
      </c>
      <c r="K600">
        <v>10</v>
      </c>
      <c r="L600">
        <v>12825</v>
      </c>
      <c r="M600">
        <v>12177.23</v>
      </c>
      <c r="N600">
        <f t="shared" si="10"/>
        <v>647.77000000000044</v>
      </c>
      <c r="O600" t="s">
        <v>38</v>
      </c>
      <c r="P600" t="s">
        <v>31</v>
      </c>
      <c r="Q600" t="s">
        <v>39</v>
      </c>
    </row>
    <row r="601" spans="1:17" x14ac:dyDescent="0.3">
      <c r="A601" t="s">
        <v>679</v>
      </c>
      <c r="B601" s="1">
        <v>45431</v>
      </c>
      <c r="C601" t="s">
        <v>49</v>
      </c>
      <c r="D601" t="s">
        <v>70</v>
      </c>
      <c r="E601" t="s">
        <v>67</v>
      </c>
      <c r="F601" t="s">
        <v>29</v>
      </c>
      <c r="G601" t="s">
        <v>68</v>
      </c>
      <c r="H601">
        <v>1200</v>
      </c>
      <c r="I601">
        <v>14</v>
      </c>
      <c r="J601">
        <v>10</v>
      </c>
      <c r="K601">
        <v>10</v>
      </c>
      <c r="L601">
        <v>15120</v>
      </c>
      <c r="M601">
        <v>15457.06</v>
      </c>
      <c r="N601">
        <f t="shared" si="10"/>
        <v>-337.05999999999949</v>
      </c>
      <c r="O601" t="s">
        <v>23</v>
      </c>
      <c r="P601" t="s">
        <v>24</v>
      </c>
      <c r="Q601" t="s">
        <v>25</v>
      </c>
    </row>
    <row r="602" spans="1:17" x14ac:dyDescent="0.3">
      <c r="A602" t="s">
        <v>680</v>
      </c>
      <c r="B602" s="1">
        <v>45457</v>
      </c>
      <c r="C602" t="s">
        <v>34</v>
      </c>
      <c r="D602" t="s">
        <v>92</v>
      </c>
      <c r="E602" t="s">
        <v>155</v>
      </c>
      <c r="F602" t="s">
        <v>21</v>
      </c>
      <c r="G602" t="s">
        <v>72</v>
      </c>
      <c r="H602">
        <v>35000</v>
      </c>
      <c r="I602">
        <v>6</v>
      </c>
      <c r="J602">
        <v>15</v>
      </c>
      <c r="K602">
        <v>10</v>
      </c>
      <c r="L602">
        <v>178500</v>
      </c>
      <c r="M602">
        <v>157029.71</v>
      </c>
      <c r="N602">
        <f t="shared" si="10"/>
        <v>21470.290000000008</v>
      </c>
      <c r="O602" t="s">
        <v>23</v>
      </c>
      <c r="P602" t="s">
        <v>31</v>
      </c>
      <c r="Q602" t="s">
        <v>32</v>
      </c>
    </row>
    <row r="603" spans="1:17" x14ac:dyDescent="0.3">
      <c r="A603" t="s">
        <v>681</v>
      </c>
      <c r="B603" s="1">
        <v>45416</v>
      </c>
      <c r="C603" t="s">
        <v>53</v>
      </c>
      <c r="D603" t="s">
        <v>70</v>
      </c>
      <c r="E603" t="s">
        <v>42</v>
      </c>
      <c r="F603" t="s">
        <v>29</v>
      </c>
      <c r="G603" t="s">
        <v>43</v>
      </c>
      <c r="H603">
        <v>500</v>
      </c>
      <c r="I603">
        <v>6</v>
      </c>
      <c r="J603">
        <v>5</v>
      </c>
      <c r="K603">
        <v>20</v>
      </c>
      <c r="L603">
        <v>2850</v>
      </c>
      <c r="M603">
        <v>2812.5</v>
      </c>
      <c r="N603">
        <f t="shared" si="10"/>
        <v>37.5</v>
      </c>
      <c r="O603" t="s">
        <v>38</v>
      </c>
      <c r="P603" t="s">
        <v>31</v>
      </c>
      <c r="Q603" t="s">
        <v>39</v>
      </c>
    </row>
    <row r="604" spans="1:17" x14ac:dyDescent="0.3">
      <c r="A604" t="s">
        <v>682</v>
      </c>
      <c r="B604" s="1">
        <v>45411</v>
      </c>
      <c r="C604" t="s">
        <v>53</v>
      </c>
      <c r="D604" t="s">
        <v>19</v>
      </c>
      <c r="E604" t="s">
        <v>167</v>
      </c>
      <c r="F604" t="s">
        <v>21</v>
      </c>
      <c r="G604" t="s">
        <v>82</v>
      </c>
      <c r="H604">
        <v>7000</v>
      </c>
      <c r="I604">
        <v>7</v>
      </c>
      <c r="J604">
        <v>5</v>
      </c>
      <c r="K604">
        <v>25</v>
      </c>
      <c r="L604">
        <v>46550</v>
      </c>
      <c r="M604">
        <v>40072.78</v>
      </c>
      <c r="N604">
        <f t="shared" si="10"/>
        <v>6477.2200000000012</v>
      </c>
      <c r="O604" t="s">
        <v>38</v>
      </c>
      <c r="P604" t="s">
        <v>31</v>
      </c>
      <c r="Q604" t="s">
        <v>39</v>
      </c>
    </row>
    <row r="605" spans="1:17" x14ac:dyDescent="0.3">
      <c r="A605" t="s">
        <v>683</v>
      </c>
      <c r="B605" s="1">
        <v>45366</v>
      </c>
      <c r="C605" t="s">
        <v>34</v>
      </c>
      <c r="D605" t="s">
        <v>92</v>
      </c>
      <c r="E605" t="s">
        <v>71</v>
      </c>
      <c r="F605" t="s">
        <v>21</v>
      </c>
      <c r="G605" t="s">
        <v>72</v>
      </c>
      <c r="H605">
        <v>60000</v>
      </c>
      <c r="I605">
        <v>10</v>
      </c>
      <c r="J605">
        <v>10</v>
      </c>
      <c r="K605">
        <v>25</v>
      </c>
      <c r="L605">
        <v>540000</v>
      </c>
      <c r="M605">
        <v>467858.92</v>
      </c>
      <c r="N605">
        <f t="shared" si="10"/>
        <v>72141.080000000016</v>
      </c>
      <c r="O605" t="s">
        <v>38</v>
      </c>
      <c r="P605" t="s">
        <v>31</v>
      </c>
      <c r="Q605" t="s">
        <v>39</v>
      </c>
    </row>
    <row r="606" spans="1:17" x14ac:dyDescent="0.3">
      <c r="A606" t="s">
        <v>684</v>
      </c>
      <c r="B606" s="1">
        <v>45380</v>
      </c>
      <c r="C606" t="s">
        <v>34</v>
      </c>
      <c r="D606" t="s">
        <v>35</v>
      </c>
      <c r="E606" t="s">
        <v>104</v>
      </c>
      <c r="F606" t="s">
        <v>29</v>
      </c>
      <c r="G606" t="s">
        <v>30</v>
      </c>
      <c r="H606">
        <v>1200</v>
      </c>
      <c r="I606">
        <v>15</v>
      </c>
      <c r="J606">
        <v>5</v>
      </c>
      <c r="K606">
        <v>25</v>
      </c>
      <c r="L606">
        <v>17100</v>
      </c>
      <c r="M606">
        <v>15178.64</v>
      </c>
      <c r="N606">
        <f t="shared" si="10"/>
        <v>1921.3600000000006</v>
      </c>
      <c r="O606" t="s">
        <v>38</v>
      </c>
      <c r="P606" t="s">
        <v>31</v>
      </c>
      <c r="Q606" t="s">
        <v>39</v>
      </c>
    </row>
    <row r="607" spans="1:17" x14ac:dyDescent="0.3">
      <c r="A607" t="s">
        <v>685</v>
      </c>
      <c r="B607" s="1">
        <v>45298</v>
      </c>
      <c r="C607" t="s">
        <v>34</v>
      </c>
      <c r="D607" t="s">
        <v>92</v>
      </c>
      <c r="E607" t="s">
        <v>45</v>
      </c>
      <c r="F607" t="s">
        <v>46</v>
      </c>
      <c r="G607" t="s">
        <v>47</v>
      </c>
      <c r="H607">
        <v>15000</v>
      </c>
      <c r="I607">
        <v>10</v>
      </c>
      <c r="J607">
        <v>10</v>
      </c>
      <c r="K607">
        <v>5</v>
      </c>
      <c r="L607">
        <v>135000</v>
      </c>
      <c r="M607">
        <v>138833.67000000001</v>
      </c>
      <c r="N607">
        <f t="shared" si="10"/>
        <v>-3833.6700000000128</v>
      </c>
      <c r="O607" t="s">
        <v>23</v>
      </c>
      <c r="P607" t="s">
        <v>24</v>
      </c>
      <c r="Q607" t="s">
        <v>25</v>
      </c>
    </row>
    <row r="608" spans="1:17" x14ac:dyDescent="0.3">
      <c r="A608" t="s">
        <v>686</v>
      </c>
      <c r="B608" s="1">
        <v>45421</v>
      </c>
      <c r="C608" t="s">
        <v>34</v>
      </c>
      <c r="D608" t="s">
        <v>35</v>
      </c>
      <c r="E608" t="s">
        <v>102</v>
      </c>
      <c r="F608" t="s">
        <v>29</v>
      </c>
      <c r="G608" t="s">
        <v>43</v>
      </c>
      <c r="H608">
        <v>1500</v>
      </c>
      <c r="I608">
        <v>7</v>
      </c>
      <c r="J608">
        <v>10</v>
      </c>
      <c r="K608">
        <v>25</v>
      </c>
      <c r="L608">
        <v>9450</v>
      </c>
      <c r="M608">
        <v>8972.84</v>
      </c>
      <c r="N608">
        <f t="shared" si="10"/>
        <v>477.15999999999985</v>
      </c>
      <c r="O608" t="s">
        <v>38</v>
      </c>
      <c r="P608" t="s">
        <v>31</v>
      </c>
      <c r="Q608" t="s">
        <v>39</v>
      </c>
    </row>
    <row r="609" spans="1:17" x14ac:dyDescent="0.3">
      <c r="A609" t="s">
        <v>687</v>
      </c>
      <c r="B609" s="1">
        <v>45437</v>
      </c>
      <c r="C609" t="s">
        <v>18</v>
      </c>
      <c r="D609" t="s">
        <v>19</v>
      </c>
      <c r="E609" t="s">
        <v>45</v>
      </c>
      <c r="F609" t="s">
        <v>46</v>
      </c>
      <c r="G609" t="s">
        <v>47</v>
      </c>
      <c r="H609">
        <v>15000</v>
      </c>
      <c r="I609">
        <v>12</v>
      </c>
      <c r="J609">
        <v>15</v>
      </c>
      <c r="K609">
        <v>15</v>
      </c>
      <c r="L609">
        <v>153000</v>
      </c>
      <c r="M609">
        <v>139967.37</v>
      </c>
      <c r="N609">
        <f t="shared" si="10"/>
        <v>13032.630000000005</v>
      </c>
      <c r="O609" t="s">
        <v>23</v>
      </c>
      <c r="P609" t="s">
        <v>31</v>
      </c>
      <c r="Q609" t="s">
        <v>32</v>
      </c>
    </row>
    <row r="610" spans="1:17" x14ac:dyDescent="0.3">
      <c r="A610" t="s">
        <v>688</v>
      </c>
      <c r="B610" s="1">
        <v>45351</v>
      </c>
      <c r="C610" t="s">
        <v>18</v>
      </c>
      <c r="D610" t="s">
        <v>92</v>
      </c>
      <c r="E610" t="s">
        <v>102</v>
      </c>
      <c r="F610" t="s">
        <v>29</v>
      </c>
      <c r="G610" t="s">
        <v>43</v>
      </c>
      <c r="H610">
        <v>1500</v>
      </c>
      <c r="I610">
        <v>8</v>
      </c>
      <c r="J610">
        <v>15</v>
      </c>
      <c r="K610">
        <v>25</v>
      </c>
      <c r="L610">
        <v>10200</v>
      </c>
      <c r="M610">
        <v>10560.67</v>
      </c>
      <c r="N610">
        <f t="shared" si="10"/>
        <v>-360.67000000000007</v>
      </c>
      <c r="O610" t="s">
        <v>38</v>
      </c>
      <c r="P610" t="s">
        <v>24</v>
      </c>
      <c r="Q610" t="s">
        <v>39</v>
      </c>
    </row>
    <row r="611" spans="1:17" x14ac:dyDescent="0.3">
      <c r="A611" t="s">
        <v>689</v>
      </c>
      <c r="B611" s="1">
        <v>45435</v>
      </c>
      <c r="C611" t="s">
        <v>34</v>
      </c>
      <c r="D611" t="s">
        <v>41</v>
      </c>
      <c r="E611" t="s">
        <v>63</v>
      </c>
      <c r="F611" t="s">
        <v>64</v>
      </c>
      <c r="G611" t="s">
        <v>65</v>
      </c>
      <c r="H611">
        <v>4000</v>
      </c>
      <c r="I611">
        <v>10</v>
      </c>
      <c r="J611">
        <v>15</v>
      </c>
      <c r="K611">
        <v>5</v>
      </c>
      <c r="L611">
        <v>34000</v>
      </c>
      <c r="M611">
        <v>30251.14</v>
      </c>
      <c r="N611">
        <f t="shared" si="10"/>
        <v>3748.8600000000006</v>
      </c>
      <c r="O611" t="s">
        <v>23</v>
      </c>
      <c r="P611" t="s">
        <v>31</v>
      </c>
      <c r="Q611" t="s">
        <v>32</v>
      </c>
    </row>
    <row r="612" spans="1:17" x14ac:dyDescent="0.3">
      <c r="A612" t="s">
        <v>690</v>
      </c>
      <c r="B612" s="1">
        <v>45394</v>
      </c>
      <c r="C612" t="s">
        <v>53</v>
      </c>
      <c r="D612" t="s">
        <v>92</v>
      </c>
      <c r="E612" t="s">
        <v>81</v>
      </c>
      <c r="F612" t="s">
        <v>21</v>
      </c>
      <c r="G612" t="s">
        <v>82</v>
      </c>
      <c r="H612">
        <v>8000</v>
      </c>
      <c r="I612">
        <v>9</v>
      </c>
      <c r="J612">
        <v>15</v>
      </c>
      <c r="K612">
        <v>20</v>
      </c>
      <c r="L612">
        <v>61200</v>
      </c>
      <c r="M612">
        <v>55821.79</v>
      </c>
      <c r="N612">
        <f t="shared" si="10"/>
        <v>5378.2099999999991</v>
      </c>
      <c r="O612" t="s">
        <v>38</v>
      </c>
      <c r="P612" t="s">
        <v>31</v>
      </c>
      <c r="Q612" t="s">
        <v>39</v>
      </c>
    </row>
    <row r="613" spans="1:17" x14ac:dyDescent="0.3">
      <c r="A613" t="s">
        <v>691</v>
      </c>
      <c r="B613" s="1">
        <v>45357</v>
      </c>
      <c r="C613" t="s">
        <v>18</v>
      </c>
      <c r="D613" t="s">
        <v>70</v>
      </c>
      <c r="E613" t="s">
        <v>20</v>
      </c>
      <c r="F613" t="s">
        <v>21</v>
      </c>
      <c r="G613" t="s">
        <v>22</v>
      </c>
      <c r="H613">
        <v>6000</v>
      </c>
      <c r="I613">
        <v>6</v>
      </c>
      <c r="J613">
        <v>5</v>
      </c>
      <c r="K613">
        <v>25</v>
      </c>
      <c r="L613">
        <v>34200</v>
      </c>
      <c r="M613">
        <v>31217.48</v>
      </c>
      <c r="N613">
        <f t="shared" si="10"/>
        <v>2982.5200000000004</v>
      </c>
      <c r="O613" t="s">
        <v>38</v>
      </c>
      <c r="P613" t="s">
        <v>31</v>
      </c>
      <c r="Q613" t="s">
        <v>39</v>
      </c>
    </row>
    <row r="614" spans="1:17" x14ac:dyDescent="0.3">
      <c r="A614" t="s">
        <v>692</v>
      </c>
      <c r="B614" s="1">
        <v>45345</v>
      </c>
      <c r="C614" t="s">
        <v>18</v>
      </c>
      <c r="D614" t="s">
        <v>27</v>
      </c>
      <c r="E614" t="s">
        <v>104</v>
      </c>
      <c r="F614" t="s">
        <v>29</v>
      </c>
      <c r="G614" t="s">
        <v>30</v>
      </c>
      <c r="H614">
        <v>1200</v>
      </c>
      <c r="I614">
        <v>10</v>
      </c>
      <c r="J614">
        <v>5</v>
      </c>
      <c r="K614">
        <v>25</v>
      </c>
      <c r="L614">
        <v>11400</v>
      </c>
      <c r="M614">
        <v>11016.71</v>
      </c>
      <c r="N614">
        <f t="shared" si="10"/>
        <v>383.29000000000087</v>
      </c>
      <c r="O614" t="s">
        <v>38</v>
      </c>
      <c r="P614" t="s">
        <v>31</v>
      </c>
      <c r="Q614" t="s">
        <v>39</v>
      </c>
    </row>
    <row r="615" spans="1:17" x14ac:dyDescent="0.3">
      <c r="A615" t="s">
        <v>693</v>
      </c>
      <c r="B615" s="1">
        <v>45310</v>
      </c>
      <c r="C615" t="s">
        <v>53</v>
      </c>
      <c r="D615" t="s">
        <v>27</v>
      </c>
      <c r="E615" t="s">
        <v>67</v>
      </c>
      <c r="F615" t="s">
        <v>29</v>
      </c>
      <c r="G615" t="s">
        <v>68</v>
      </c>
      <c r="H615">
        <v>1200</v>
      </c>
      <c r="I615">
        <v>11</v>
      </c>
      <c r="J615">
        <v>15</v>
      </c>
      <c r="K615">
        <v>20</v>
      </c>
      <c r="L615">
        <v>11220</v>
      </c>
      <c r="M615">
        <v>11617.19</v>
      </c>
      <c r="N615">
        <f t="shared" si="10"/>
        <v>-397.19000000000051</v>
      </c>
      <c r="O615" t="s">
        <v>38</v>
      </c>
      <c r="P615" t="s">
        <v>24</v>
      </c>
      <c r="Q615" t="s">
        <v>39</v>
      </c>
    </row>
    <row r="616" spans="1:17" x14ac:dyDescent="0.3">
      <c r="A616" t="s">
        <v>694</v>
      </c>
      <c r="B616" s="1">
        <v>45392</v>
      </c>
      <c r="C616" t="s">
        <v>18</v>
      </c>
      <c r="D616" t="s">
        <v>35</v>
      </c>
      <c r="E616" t="s">
        <v>104</v>
      </c>
      <c r="F616" t="s">
        <v>29</v>
      </c>
      <c r="G616" t="s">
        <v>30</v>
      </c>
      <c r="H616">
        <v>1200</v>
      </c>
      <c r="I616">
        <v>12</v>
      </c>
      <c r="J616">
        <v>10</v>
      </c>
      <c r="K616">
        <v>20</v>
      </c>
      <c r="L616">
        <v>12960</v>
      </c>
      <c r="M616">
        <v>12765.87</v>
      </c>
      <c r="N616">
        <f t="shared" si="10"/>
        <v>194.1299999999992</v>
      </c>
      <c r="O616" t="s">
        <v>38</v>
      </c>
      <c r="P616" t="s">
        <v>31</v>
      </c>
      <c r="Q616" t="s">
        <v>39</v>
      </c>
    </row>
    <row r="617" spans="1:17" x14ac:dyDescent="0.3">
      <c r="A617" t="s">
        <v>695</v>
      </c>
      <c r="B617" s="1">
        <v>45321</v>
      </c>
      <c r="C617" t="s">
        <v>34</v>
      </c>
      <c r="D617" t="s">
        <v>70</v>
      </c>
      <c r="E617" t="s">
        <v>42</v>
      </c>
      <c r="F617" t="s">
        <v>29</v>
      </c>
      <c r="G617" t="s">
        <v>43</v>
      </c>
      <c r="H617">
        <v>500</v>
      </c>
      <c r="I617">
        <v>3</v>
      </c>
      <c r="J617">
        <v>15</v>
      </c>
      <c r="K617">
        <v>20</v>
      </c>
      <c r="L617">
        <v>1275</v>
      </c>
      <c r="M617">
        <v>1181.42</v>
      </c>
      <c r="N617">
        <f t="shared" si="10"/>
        <v>93.579999999999927</v>
      </c>
      <c r="O617" t="s">
        <v>38</v>
      </c>
      <c r="P617" t="s">
        <v>31</v>
      </c>
      <c r="Q617" t="s">
        <v>39</v>
      </c>
    </row>
    <row r="618" spans="1:17" x14ac:dyDescent="0.3">
      <c r="A618" t="s">
        <v>696</v>
      </c>
      <c r="B618" s="1">
        <v>45449</v>
      </c>
      <c r="C618" t="s">
        <v>34</v>
      </c>
      <c r="D618" t="s">
        <v>70</v>
      </c>
      <c r="E618" t="s">
        <v>67</v>
      </c>
      <c r="F618" t="s">
        <v>29</v>
      </c>
      <c r="G618" t="s">
        <v>68</v>
      </c>
      <c r="H618">
        <v>1200</v>
      </c>
      <c r="I618">
        <v>1</v>
      </c>
      <c r="J618">
        <v>15</v>
      </c>
      <c r="K618">
        <v>5</v>
      </c>
      <c r="L618">
        <v>1020</v>
      </c>
      <c r="M618">
        <v>926.26</v>
      </c>
      <c r="N618">
        <f t="shared" si="10"/>
        <v>93.740000000000009</v>
      </c>
      <c r="O618" t="s">
        <v>23</v>
      </c>
      <c r="P618" t="s">
        <v>31</v>
      </c>
      <c r="Q618" t="s">
        <v>32</v>
      </c>
    </row>
    <row r="619" spans="1:17" x14ac:dyDescent="0.3">
      <c r="A619" t="s">
        <v>697</v>
      </c>
      <c r="B619" s="1">
        <v>45414</v>
      </c>
      <c r="C619" t="s">
        <v>34</v>
      </c>
      <c r="D619" t="s">
        <v>92</v>
      </c>
      <c r="E619" t="s">
        <v>67</v>
      </c>
      <c r="F619" t="s">
        <v>29</v>
      </c>
      <c r="G619" t="s">
        <v>68</v>
      </c>
      <c r="H619">
        <v>1200</v>
      </c>
      <c r="I619">
        <v>11</v>
      </c>
      <c r="J619">
        <v>15</v>
      </c>
      <c r="K619">
        <v>0</v>
      </c>
      <c r="L619">
        <v>11220</v>
      </c>
      <c r="M619">
        <v>10324.51</v>
      </c>
      <c r="N619">
        <f t="shared" si="10"/>
        <v>895.48999999999978</v>
      </c>
      <c r="O619" t="s">
        <v>23</v>
      </c>
      <c r="P619" t="s">
        <v>31</v>
      </c>
      <c r="Q619" t="s">
        <v>32</v>
      </c>
    </row>
    <row r="620" spans="1:17" x14ac:dyDescent="0.3">
      <c r="A620" t="s">
        <v>698</v>
      </c>
      <c r="B620" s="1">
        <v>45388</v>
      </c>
      <c r="C620" t="s">
        <v>53</v>
      </c>
      <c r="D620" t="s">
        <v>70</v>
      </c>
      <c r="E620" t="s">
        <v>167</v>
      </c>
      <c r="F620" t="s">
        <v>21</v>
      </c>
      <c r="G620" t="s">
        <v>82</v>
      </c>
      <c r="H620">
        <v>7000</v>
      </c>
      <c r="I620">
        <v>1</v>
      </c>
      <c r="J620">
        <v>10</v>
      </c>
      <c r="K620">
        <v>15</v>
      </c>
      <c r="L620">
        <v>6300</v>
      </c>
      <c r="M620">
        <v>5595.18</v>
      </c>
      <c r="N620">
        <f t="shared" si="10"/>
        <v>704.81999999999971</v>
      </c>
      <c r="O620" t="s">
        <v>38</v>
      </c>
      <c r="P620" t="s">
        <v>31</v>
      </c>
      <c r="Q620" t="s">
        <v>39</v>
      </c>
    </row>
    <row r="621" spans="1:17" x14ac:dyDescent="0.3">
      <c r="A621" t="s">
        <v>699</v>
      </c>
      <c r="B621" s="1">
        <v>45298</v>
      </c>
      <c r="C621" t="s">
        <v>49</v>
      </c>
      <c r="D621" t="s">
        <v>27</v>
      </c>
      <c r="E621" t="s">
        <v>102</v>
      </c>
      <c r="F621" t="s">
        <v>29</v>
      </c>
      <c r="G621" t="s">
        <v>43</v>
      </c>
      <c r="H621">
        <v>1500</v>
      </c>
      <c r="I621">
        <v>9</v>
      </c>
      <c r="J621">
        <v>10</v>
      </c>
      <c r="K621">
        <v>10</v>
      </c>
      <c r="L621">
        <v>12150</v>
      </c>
      <c r="M621">
        <v>12418.44</v>
      </c>
      <c r="N621">
        <f t="shared" si="10"/>
        <v>-268.44000000000051</v>
      </c>
      <c r="O621" t="s">
        <v>23</v>
      </c>
      <c r="P621" t="s">
        <v>24</v>
      </c>
      <c r="Q621" t="s">
        <v>25</v>
      </c>
    </row>
    <row r="622" spans="1:17" x14ac:dyDescent="0.3">
      <c r="A622" t="s">
        <v>700</v>
      </c>
      <c r="B622" s="1">
        <v>45446</v>
      </c>
      <c r="C622" t="s">
        <v>34</v>
      </c>
      <c r="D622" t="s">
        <v>19</v>
      </c>
      <c r="E622" t="s">
        <v>45</v>
      </c>
      <c r="F622" t="s">
        <v>46</v>
      </c>
      <c r="G622" t="s">
        <v>47</v>
      </c>
      <c r="H622">
        <v>15000</v>
      </c>
      <c r="I622">
        <v>12</v>
      </c>
      <c r="J622">
        <v>10</v>
      </c>
      <c r="K622">
        <v>5</v>
      </c>
      <c r="L622">
        <v>162000</v>
      </c>
      <c r="M622">
        <v>140832.98000000001</v>
      </c>
      <c r="N622">
        <f t="shared" si="10"/>
        <v>21167.01999999999</v>
      </c>
      <c r="O622" t="s">
        <v>23</v>
      </c>
      <c r="P622" t="s">
        <v>31</v>
      </c>
      <c r="Q622" t="s">
        <v>32</v>
      </c>
    </row>
    <row r="623" spans="1:17" x14ac:dyDescent="0.3">
      <c r="A623" t="s">
        <v>701</v>
      </c>
      <c r="B623" s="1">
        <v>45449</v>
      </c>
      <c r="C623" t="s">
        <v>53</v>
      </c>
      <c r="D623" t="s">
        <v>27</v>
      </c>
      <c r="E623" t="s">
        <v>67</v>
      </c>
      <c r="F623" t="s">
        <v>29</v>
      </c>
      <c r="G623" t="s">
        <v>68</v>
      </c>
      <c r="H623">
        <v>1200</v>
      </c>
      <c r="I623">
        <v>9</v>
      </c>
      <c r="J623">
        <v>15</v>
      </c>
      <c r="K623">
        <v>5</v>
      </c>
      <c r="L623">
        <v>9180</v>
      </c>
      <c r="M623">
        <v>8390.57</v>
      </c>
      <c r="N623">
        <f t="shared" si="10"/>
        <v>789.43000000000029</v>
      </c>
      <c r="O623" t="s">
        <v>23</v>
      </c>
      <c r="P623" t="s">
        <v>31</v>
      </c>
      <c r="Q623" t="s">
        <v>32</v>
      </c>
    </row>
    <row r="624" spans="1:17" x14ac:dyDescent="0.3">
      <c r="A624" t="s">
        <v>702</v>
      </c>
      <c r="B624" s="1">
        <v>45363</v>
      </c>
      <c r="C624" t="s">
        <v>34</v>
      </c>
      <c r="D624" t="s">
        <v>27</v>
      </c>
      <c r="E624" t="s">
        <v>36</v>
      </c>
      <c r="F624" t="s">
        <v>29</v>
      </c>
      <c r="G624" t="s">
        <v>37</v>
      </c>
      <c r="H624">
        <v>1200</v>
      </c>
      <c r="I624">
        <v>11</v>
      </c>
      <c r="J624">
        <v>15</v>
      </c>
      <c r="K624">
        <v>25</v>
      </c>
      <c r="L624">
        <v>11220</v>
      </c>
      <c r="M624">
        <v>10860.96</v>
      </c>
      <c r="N624">
        <f t="shared" si="10"/>
        <v>359.04000000000087</v>
      </c>
      <c r="O624" t="s">
        <v>38</v>
      </c>
      <c r="P624" t="s">
        <v>31</v>
      </c>
      <c r="Q624" t="s">
        <v>39</v>
      </c>
    </row>
    <row r="625" spans="1:17" x14ac:dyDescent="0.3">
      <c r="A625" t="s">
        <v>703</v>
      </c>
      <c r="B625" s="1">
        <v>45432</v>
      </c>
      <c r="C625" t="s">
        <v>49</v>
      </c>
      <c r="D625" t="s">
        <v>27</v>
      </c>
      <c r="E625" t="s">
        <v>63</v>
      </c>
      <c r="F625" t="s">
        <v>64</v>
      </c>
      <c r="G625" t="s">
        <v>65</v>
      </c>
      <c r="H625">
        <v>4000</v>
      </c>
      <c r="I625">
        <v>6</v>
      </c>
      <c r="J625">
        <v>5</v>
      </c>
      <c r="K625">
        <v>5</v>
      </c>
      <c r="L625">
        <v>22800</v>
      </c>
      <c r="M625">
        <v>21437.95</v>
      </c>
      <c r="N625">
        <f t="shared" si="10"/>
        <v>1362.0499999999993</v>
      </c>
      <c r="O625" t="s">
        <v>23</v>
      </c>
      <c r="P625" t="s">
        <v>31</v>
      </c>
      <c r="Q625" t="s">
        <v>32</v>
      </c>
    </row>
    <row r="626" spans="1:17" x14ac:dyDescent="0.3">
      <c r="A626" t="s">
        <v>704</v>
      </c>
      <c r="B626" s="1">
        <v>45300</v>
      </c>
      <c r="C626" t="s">
        <v>49</v>
      </c>
      <c r="D626" t="s">
        <v>19</v>
      </c>
      <c r="E626" t="s">
        <v>100</v>
      </c>
      <c r="F626" t="s">
        <v>46</v>
      </c>
      <c r="G626" t="s">
        <v>55</v>
      </c>
      <c r="H626">
        <v>2500</v>
      </c>
      <c r="I626">
        <v>6</v>
      </c>
      <c r="J626">
        <v>5</v>
      </c>
      <c r="K626">
        <v>10</v>
      </c>
      <c r="L626">
        <v>14250</v>
      </c>
      <c r="M626">
        <v>13419.44</v>
      </c>
      <c r="N626">
        <f t="shared" si="10"/>
        <v>830.55999999999949</v>
      </c>
      <c r="O626" t="s">
        <v>38</v>
      </c>
      <c r="P626" t="s">
        <v>31</v>
      </c>
      <c r="Q626" t="s">
        <v>39</v>
      </c>
    </row>
    <row r="627" spans="1:17" x14ac:dyDescent="0.3">
      <c r="A627" t="s">
        <v>705</v>
      </c>
      <c r="B627" s="1">
        <v>45465</v>
      </c>
      <c r="C627" t="s">
        <v>34</v>
      </c>
      <c r="D627" t="s">
        <v>27</v>
      </c>
      <c r="E627" t="s">
        <v>155</v>
      </c>
      <c r="F627" t="s">
        <v>21</v>
      </c>
      <c r="G627" t="s">
        <v>72</v>
      </c>
      <c r="H627">
        <v>35000</v>
      </c>
      <c r="I627">
        <v>7</v>
      </c>
      <c r="J627">
        <v>10</v>
      </c>
      <c r="K627">
        <v>0</v>
      </c>
      <c r="L627">
        <v>220500</v>
      </c>
      <c r="M627">
        <v>199719.31</v>
      </c>
      <c r="N627">
        <f t="shared" si="10"/>
        <v>20780.690000000002</v>
      </c>
      <c r="O627" t="s">
        <v>23</v>
      </c>
      <c r="P627" t="s">
        <v>31</v>
      </c>
      <c r="Q627" t="s">
        <v>32</v>
      </c>
    </row>
    <row r="628" spans="1:17" x14ac:dyDescent="0.3">
      <c r="A628" t="s">
        <v>706</v>
      </c>
      <c r="B628" s="1">
        <v>45299</v>
      </c>
      <c r="C628" t="s">
        <v>34</v>
      </c>
      <c r="D628" t="s">
        <v>92</v>
      </c>
      <c r="E628" t="s">
        <v>167</v>
      </c>
      <c r="F628" t="s">
        <v>21</v>
      </c>
      <c r="G628" t="s">
        <v>82</v>
      </c>
      <c r="H628">
        <v>7000</v>
      </c>
      <c r="I628">
        <v>8</v>
      </c>
      <c r="J628">
        <v>10</v>
      </c>
      <c r="K628">
        <v>25</v>
      </c>
      <c r="L628">
        <v>50400</v>
      </c>
      <c r="M628">
        <v>44707.75</v>
      </c>
      <c r="N628">
        <f t="shared" si="10"/>
        <v>5692.25</v>
      </c>
      <c r="O628" t="s">
        <v>38</v>
      </c>
      <c r="P628" t="s">
        <v>31</v>
      </c>
      <c r="Q628" t="s">
        <v>39</v>
      </c>
    </row>
    <row r="629" spans="1:17" x14ac:dyDescent="0.3">
      <c r="A629" t="s">
        <v>707</v>
      </c>
      <c r="B629" s="1">
        <v>45462</v>
      </c>
      <c r="C629" t="s">
        <v>53</v>
      </c>
      <c r="D629" t="s">
        <v>35</v>
      </c>
      <c r="E629" t="s">
        <v>151</v>
      </c>
      <c r="F629" t="s">
        <v>141</v>
      </c>
      <c r="G629" t="s">
        <v>142</v>
      </c>
      <c r="H629">
        <v>3500</v>
      </c>
      <c r="I629">
        <v>13</v>
      </c>
      <c r="J629">
        <v>10</v>
      </c>
      <c r="K629">
        <v>10</v>
      </c>
      <c r="L629">
        <v>40950</v>
      </c>
      <c r="M629">
        <v>35964.269999999997</v>
      </c>
      <c r="N629">
        <f t="shared" si="10"/>
        <v>4985.7300000000032</v>
      </c>
      <c r="O629" t="s">
        <v>23</v>
      </c>
      <c r="P629" t="s">
        <v>31</v>
      </c>
      <c r="Q629" t="s">
        <v>32</v>
      </c>
    </row>
    <row r="630" spans="1:17" x14ac:dyDescent="0.3">
      <c r="A630" t="s">
        <v>708</v>
      </c>
      <c r="B630" s="1">
        <v>45438</v>
      </c>
      <c r="C630" t="s">
        <v>18</v>
      </c>
      <c r="D630" t="s">
        <v>27</v>
      </c>
      <c r="E630" t="s">
        <v>104</v>
      </c>
      <c r="F630" t="s">
        <v>29</v>
      </c>
      <c r="G630" t="s">
        <v>30</v>
      </c>
      <c r="H630">
        <v>1200</v>
      </c>
      <c r="I630">
        <v>1</v>
      </c>
      <c r="J630">
        <v>5</v>
      </c>
      <c r="K630">
        <v>5</v>
      </c>
      <c r="L630">
        <v>1140</v>
      </c>
      <c r="M630">
        <v>970.7</v>
      </c>
      <c r="N630">
        <f t="shared" si="10"/>
        <v>169.29999999999995</v>
      </c>
      <c r="O630" t="s">
        <v>23</v>
      </c>
      <c r="P630" t="s">
        <v>31</v>
      </c>
      <c r="Q630" t="s">
        <v>32</v>
      </c>
    </row>
    <row r="631" spans="1:17" x14ac:dyDescent="0.3">
      <c r="A631" t="s">
        <v>709</v>
      </c>
      <c r="B631" s="1">
        <v>45437</v>
      </c>
      <c r="C631" t="s">
        <v>34</v>
      </c>
      <c r="D631" t="s">
        <v>41</v>
      </c>
      <c r="E631" t="s">
        <v>140</v>
      </c>
      <c r="F631" t="s">
        <v>141</v>
      </c>
      <c r="G631" t="s">
        <v>142</v>
      </c>
      <c r="H631">
        <v>12000</v>
      </c>
      <c r="I631">
        <v>3</v>
      </c>
      <c r="J631">
        <v>10</v>
      </c>
      <c r="K631">
        <v>10</v>
      </c>
      <c r="L631">
        <v>32400</v>
      </c>
      <c r="M631">
        <v>27617.31</v>
      </c>
      <c r="N631">
        <f t="shared" si="10"/>
        <v>4782.6899999999987</v>
      </c>
      <c r="O631" t="s">
        <v>23</v>
      </c>
      <c r="P631" t="s">
        <v>31</v>
      </c>
      <c r="Q631" t="s">
        <v>32</v>
      </c>
    </row>
    <row r="632" spans="1:17" x14ac:dyDescent="0.3">
      <c r="A632" t="s">
        <v>710</v>
      </c>
      <c r="B632" s="1">
        <v>45427</v>
      </c>
      <c r="C632" t="s">
        <v>34</v>
      </c>
      <c r="D632" t="s">
        <v>19</v>
      </c>
      <c r="E632" t="s">
        <v>20</v>
      </c>
      <c r="F632" t="s">
        <v>21</v>
      </c>
      <c r="G632" t="s">
        <v>22</v>
      </c>
      <c r="H632">
        <v>6000</v>
      </c>
      <c r="I632">
        <v>6</v>
      </c>
      <c r="J632">
        <v>15</v>
      </c>
      <c r="K632">
        <v>20</v>
      </c>
      <c r="L632">
        <v>30600</v>
      </c>
      <c r="M632">
        <v>31361.360000000001</v>
      </c>
      <c r="N632">
        <f t="shared" si="10"/>
        <v>-761.36000000000058</v>
      </c>
      <c r="O632" t="s">
        <v>38</v>
      </c>
      <c r="P632" t="s">
        <v>24</v>
      </c>
      <c r="Q632" t="s">
        <v>39</v>
      </c>
    </row>
    <row r="633" spans="1:17" x14ac:dyDescent="0.3">
      <c r="A633" t="s">
        <v>711</v>
      </c>
      <c r="B633" s="1">
        <v>45380</v>
      </c>
      <c r="C633" t="s">
        <v>49</v>
      </c>
      <c r="D633" t="s">
        <v>92</v>
      </c>
      <c r="E633" t="s">
        <v>151</v>
      </c>
      <c r="F633" t="s">
        <v>141</v>
      </c>
      <c r="G633" t="s">
        <v>142</v>
      </c>
      <c r="H633">
        <v>3500</v>
      </c>
      <c r="I633">
        <v>3</v>
      </c>
      <c r="J633">
        <v>5</v>
      </c>
      <c r="K633">
        <v>0</v>
      </c>
      <c r="L633">
        <v>9975</v>
      </c>
      <c r="M633">
        <v>9487.92</v>
      </c>
      <c r="N633">
        <f t="shared" si="10"/>
        <v>487.07999999999993</v>
      </c>
      <c r="O633" t="s">
        <v>23</v>
      </c>
      <c r="P633" t="s">
        <v>31</v>
      </c>
      <c r="Q633" t="s">
        <v>32</v>
      </c>
    </row>
    <row r="634" spans="1:17" x14ac:dyDescent="0.3">
      <c r="A634" t="s">
        <v>712</v>
      </c>
      <c r="B634" s="1">
        <v>45295</v>
      </c>
      <c r="C634" t="s">
        <v>34</v>
      </c>
      <c r="D634" t="s">
        <v>92</v>
      </c>
      <c r="E634" t="s">
        <v>20</v>
      </c>
      <c r="F634" t="s">
        <v>21</v>
      </c>
      <c r="G634" t="s">
        <v>22</v>
      </c>
      <c r="H634">
        <v>6000</v>
      </c>
      <c r="I634">
        <v>2</v>
      </c>
      <c r="J634">
        <v>5</v>
      </c>
      <c r="K634">
        <v>5</v>
      </c>
      <c r="L634">
        <v>11400</v>
      </c>
      <c r="M634">
        <v>11025.38</v>
      </c>
      <c r="N634">
        <f t="shared" si="10"/>
        <v>374.6200000000008</v>
      </c>
      <c r="O634" t="s">
        <v>23</v>
      </c>
      <c r="P634" t="s">
        <v>31</v>
      </c>
      <c r="Q634" t="s">
        <v>32</v>
      </c>
    </row>
    <row r="635" spans="1:17" x14ac:dyDescent="0.3">
      <c r="A635" t="s">
        <v>713</v>
      </c>
      <c r="B635" s="1">
        <v>45300</v>
      </c>
      <c r="C635" t="s">
        <v>53</v>
      </c>
      <c r="D635" t="s">
        <v>35</v>
      </c>
      <c r="E635" t="s">
        <v>155</v>
      </c>
      <c r="F635" t="s">
        <v>21</v>
      </c>
      <c r="G635" t="s">
        <v>72</v>
      </c>
      <c r="H635">
        <v>35000</v>
      </c>
      <c r="I635">
        <v>12</v>
      </c>
      <c r="J635">
        <v>15</v>
      </c>
      <c r="K635">
        <v>5</v>
      </c>
      <c r="L635">
        <v>357000</v>
      </c>
      <c r="M635">
        <v>325913.83</v>
      </c>
      <c r="N635">
        <f t="shared" si="10"/>
        <v>31086.169999999984</v>
      </c>
      <c r="O635" t="s">
        <v>23</v>
      </c>
      <c r="P635" t="s">
        <v>31</v>
      </c>
      <c r="Q635" t="s">
        <v>32</v>
      </c>
    </row>
    <row r="636" spans="1:17" x14ac:dyDescent="0.3">
      <c r="A636" t="s">
        <v>714</v>
      </c>
      <c r="B636" s="1">
        <v>45385</v>
      </c>
      <c r="C636" t="s">
        <v>49</v>
      </c>
      <c r="D636" t="s">
        <v>92</v>
      </c>
      <c r="E636" t="s">
        <v>20</v>
      </c>
      <c r="F636" t="s">
        <v>21</v>
      </c>
      <c r="G636" t="s">
        <v>22</v>
      </c>
      <c r="H636">
        <v>6000</v>
      </c>
      <c r="I636">
        <v>9</v>
      </c>
      <c r="J636">
        <v>10</v>
      </c>
      <c r="K636">
        <v>15</v>
      </c>
      <c r="L636">
        <v>48600</v>
      </c>
      <c r="M636">
        <v>49805.72</v>
      </c>
      <c r="N636">
        <f t="shared" si="10"/>
        <v>-1205.7200000000012</v>
      </c>
      <c r="O636" t="s">
        <v>38</v>
      </c>
      <c r="P636" t="s">
        <v>24</v>
      </c>
      <c r="Q636" t="s">
        <v>39</v>
      </c>
    </row>
    <row r="637" spans="1:17" x14ac:dyDescent="0.3">
      <c r="A637" t="s">
        <v>715</v>
      </c>
      <c r="B637" s="1">
        <v>45382</v>
      </c>
      <c r="C637" t="s">
        <v>34</v>
      </c>
      <c r="D637" t="s">
        <v>27</v>
      </c>
      <c r="E637" t="s">
        <v>102</v>
      </c>
      <c r="F637" t="s">
        <v>29</v>
      </c>
      <c r="G637" t="s">
        <v>43</v>
      </c>
      <c r="H637">
        <v>1500</v>
      </c>
      <c r="I637">
        <v>3</v>
      </c>
      <c r="J637">
        <v>10</v>
      </c>
      <c r="K637">
        <v>25</v>
      </c>
      <c r="L637">
        <v>4050</v>
      </c>
      <c r="M637">
        <v>3464.55</v>
      </c>
      <c r="N637">
        <f t="shared" si="10"/>
        <v>585.44999999999982</v>
      </c>
      <c r="O637" t="s">
        <v>38</v>
      </c>
      <c r="P637" t="s">
        <v>31</v>
      </c>
      <c r="Q637" t="s">
        <v>39</v>
      </c>
    </row>
    <row r="638" spans="1:17" x14ac:dyDescent="0.3">
      <c r="A638" t="s">
        <v>716</v>
      </c>
      <c r="B638" s="1">
        <v>45342</v>
      </c>
      <c r="C638" t="s">
        <v>49</v>
      </c>
      <c r="D638" t="s">
        <v>19</v>
      </c>
      <c r="E638" t="s">
        <v>42</v>
      </c>
      <c r="F638" t="s">
        <v>29</v>
      </c>
      <c r="G638" t="s">
        <v>43</v>
      </c>
      <c r="H638">
        <v>500</v>
      </c>
      <c r="I638">
        <v>5</v>
      </c>
      <c r="J638">
        <v>10</v>
      </c>
      <c r="K638">
        <v>15</v>
      </c>
      <c r="L638">
        <v>2250</v>
      </c>
      <c r="M638">
        <v>2101.29</v>
      </c>
      <c r="N638">
        <f t="shared" si="10"/>
        <v>148.71000000000004</v>
      </c>
      <c r="O638" t="s">
        <v>38</v>
      </c>
      <c r="P638" t="s">
        <v>31</v>
      </c>
      <c r="Q638" t="s">
        <v>39</v>
      </c>
    </row>
    <row r="639" spans="1:17" x14ac:dyDescent="0.3">
      <c r="A639" t="s">
        <v>717</v>
      </c>
      <c r="B639" s="1">
        <v>45435</v>
      </c>
      <c r="C639" t="s">
        <v>53</v>
      </c>
      <c r="D639" t="s">
        <v>41</v>
      </c>
      <c r="E639" t="s">
        <v>167</v>
      </c>
      <c r="F639" t="s">
        <v>21</v>
      </c>
      <c r="G639" t="s">
        <v>82</v>
      </c>
      <c r="H639">
        <v>7000</v>
      </c>
      <c r="I639">
        <v>6</v>
      </c>
      <c r="J639">
        <v>15</v>
      </c>
      <c r="K639">
        <v>15</v>
      </c>
      <c r="L639">
        <v>35700</v>
      </c>
      <c r="M639">
        <v>37092.35</v>
      </c>
      <c r="N639">
        <f t="shared" si="10"/>
        <v>-1392.3499999999985</v>
      </c>
      <c r="O639" t="s">
        <v>23</v>
      </c>
      <c r="P639" t="s">
        <v>24</v>
      </c>
      <c r="Q639" t="s">
        <v>25</v>
      </c>
    </row>
    <row r="640" spans="1:17" x14ac:dyDescent="0.3">
      <c r="A640" t="s">
        <v>718</v>
      </c>
      <c r="B640" s="1">
        <v>45462</v>
      </c>
      <c r="C640" t="s">
        <v>34</v>
      </c>
      <c r="D640" t="s">
        <v>92</v>
      </c>
      <c r="E640" t="s">
        <v>107</v>
      </c>
      <c r="F640" t="s">
        <v>108</v>
      </c>
      <c r="G640" t="s">
        <v>109</v>
      </c>
      <c r="H640">
        <v>18000</v>
      </c>
      <c r="I640">
        <v>6</v>
      </c>
      <c r="J640">
        <v>10</v>
      </c>
      <c r="K640">
        <v>25</v>
      </c>
      <c r="L640">
        <v>97200</v>
      </c>
      <c r="M640">
        <v>86639.12</v>
      </c>
      <c r="N640">
        <f t="shared" si="10"/>
        <v>10560.880000000005</v>
      </c>
      <c r="O640" t="s">
        <v>38</v>
      </c>
      <c r="P640" t="s">
        <v>31</v>
      </c>
      <c r="Q640" t="s">
        <v>39</v>
      </c>
    </row>
    <row r="641" spans="1:17" x14ac:dyDescent="0.3">
      <c r="A641" t="s">
        <v>719</v>
      </c>
      <c r="B641" s="1">
        <v>45457</v>
      </c>
      <c r="C641" t="s">
        <v>49</v>
      </c>
      <c r="D641" t="s">
        <v>35</v>
      </c>
      <c r="E641" t="s">
        <v>140</v>
      </c>
      <c r="F641" t="s">
        <v>141</v>
      </c>
      <c r="G641" t="s">
        <v>142</v>
      </c>
      <c r="H641">
        <v>12000</v>
      </c>
      <c r="I641">
        <v>9</v>
      </c>
      <c r="J641">
        <v>10</v>
      </c>
      <c r="K641">
        <v>15</v>
      </c>
      <c r="L641">
        <v>97200</v>
      </c>
      <c r="M641">
        <v>83751.81</v>
      </c>
      <c r="N641">
        <f t="shared" si="10"/>
        <v>13448.190000000002</v>
      </c>
      <c r="O641" t="s">
        <v>38</v>
      </c>
      <c r="P641" t="s">
        <v>31</v>
      </c>
      <c r="Q641" t="s">
        <v>39</v>
      </c>
    </row>
    <row r="642" spans="1:17" x14ac:dyDescent="0.3">
      <c r="A642" t="s">
        <v>720</v>
      </c>
      <c r="B642" s="1">
        <v>45353</v>
      </c>
      <c r="C642" t="s">
        <v>18</v>
      </c>
      <c r="D642" t="s">
        <v>70</v>
      </c>
      <c r="E642" t="s">
        <v>20</v>
      </c>
      <c r="F642" t="s">
        <v>21</v>
      </c>
      <c r="G642" t="s">
        <v>22</v>
      </c>
      <c r="H642">
        <v>6000</v>
      </c>
      <c r="I642">
        <v>9</v>
      </c>
      <c r="J642">
        <v>15</v>
      </c>
      <c r="K642">
        <v>25</v>
      </c>
      <c r="L642">
        <v>45900</v>
      </c>
      <c r="M642">
        <v>40935.19</v>
      </c>
      <c r="N642">
        <f t="shared" si="10"/>
        <v>4964.8099999999977</v>
      </c>
      <c r="O642" t="s">
        <v>38</v>
      </c>
      <c r="P642" t="s">
        <v>31</v>
      </c>
      <c r="Q642" t="s">
        <v>39</v>
      </c>
    </row>
    <row r="643" spans="1:17" x14ac:dyDescent="0.3">
      <c r="A643" t="s">
        <v>721</v>
      </c>
      <c r="B643" s="1">
        <v>45368</v>
      </c>
      <c r="C643" t="s">
        <v>34</v>
      </c>
      <c r="D643" t="s">
        <v>35</v>
      </c>
      <c r="E643" t="s">
        <v>45</v>
      </c>
      <c r="F643" t="s">
        <v>46</v>
      </c>
      <c r="G643" t="s">
        <v>47</v>
      </c>
      <c r="H643">
        <v>15000</v>
      </c>
      <c r="I643">
        <v>5</v>
      </c>
      <c r="J643">
        <v>10</v>
      </c>
      <c r="K643">
        <v>25</v>
      </c>
      <c r="L643">
        <v>67500</v>
      </c>
      <c r="M643">
        <v>70193.679999999993</v>
      </c>
      <c r="N643">
        <f t="shared" ref="N643:N706" si="11">L643-M643</f>
        <v>-2693.679999999993</v>
      </c>
      <c r="O643" t="s">
        <v>38</v>
      </c>
      <c r="P643" t="s">
        <v>24</v>
      </c>
      <c r="Q643" t="s">
        <v>39</v>
      </c>
    </row>
    <row r="644" spans="1:17" x14ac:dyDescent="0.3">
      <c r="A644" t="s">
        <v>722</v>
      </c>
      <c r="B644" s="1">
        <v>45354</v>
      </c>
      <c r="C644" t="s">
        <v>18</v>
      </c>
      <c r="D644" t="s">
        <v>19</v>
      </c>
      <c r="E644" t="s">
        <v>20</v>
      </c>
      <c r="F644" t="s">
        <v>21</v>
      </c>
      <c r="G644" t="s">
        <v>22</v>
      </c>
      <c r="H644">
        <v>6000</v>
      </c>
      <c r="I644">
        <v>11</v>
      </c>
      <c r="J644">
        <v>10</v>
      </c>
      <c r="K644">
        <v>20</v>
      </c>
      <c r="L644">
        <v>59400</v>
      </c>
      <c r="M644">
        <v>60146.55</v>
      </c>
      <c r="N644">
        <f t="shared" si="11"/>
        <v>-746.55000000000291</v>
      </c>
      <c r="O644" t="s">
        <v>38</v>
      </c>
      <c r="P644" t="s">
        <v>24</v>
      </c>
      <c r="Q644" t="s">
        <v>39</v>
      </c>
    </row>
    <row r="645" spans="1:17" x14ac:dyDescent="0.3">
      <c r="A645" t="s">
        <v>723</v>
      </c>
      <c r="B645" s="1">
        <v>45406</v>
      </c>
      <c r="C645" t="s">
        <v>34</v>
      </c>
      <c r="D645" t="s">
        <v>41</v>
      </c>
      <c r="E645" t="s">
        <v>155</v>
      </c>
      <c r="F645" t="s">
        <v>21</v>
      </c>
      <c r="G645" t="s">
        <v>72</v>
      </c>
      <c r="H645">
        <v>35000</v>
      </c>
      <c r="I645">
        <v>15</v>
      </c>
      <c r="J645">
        <v>5</v>
      </c>
      <c r="K645">
        <v>25</v>
      </c>
      <c r="L645">
        <v>498750</v>
      </c>
      <c r="M645">
        <v>444782.94</v>
      </c>
      <c r="N645">
        <f t="shared" si="11"/>
        <v>53967.06</v>
      </c>
      <c r="O645" t="s">
        <v>38</v>
      </c>
      <c r="P645" t="s">
        <v>31</v>
      </c>
      <c r="Q645" t="s">
        <v>39</v>
      </c>
    </row>
    <row r="646" spans="1:17" x14ac:dyDescent="0.3">
      <c r="A646" t="s">
        <v>724</v>
      </c>
      <c r="B646" s="1">
        <v>45421</v>
      </c>
      <c r="C646" t="s">
        <v>49</v>
      </c>
      <c r="D646" t="s">
        <v>35</v>
      </c>
      <c r="E646" t="s">
        <v>54</v>
      </c>
      <c r="F646" t="s">
        <v>46</v>
      </c>
      <c r="G646" t="s">
        <v>55</v>
      </c>
      <c r="H646">
        <v>4500</v>
      </c>
      <c r="I646">
        <v>15</v>
      </c>
      <c r="J646">
        <v>5</v>
      </c>
      <c r="K646">
        <v>10</v>
      </c>
      <c r="L646">
        <v>64125</v>
      </c>
      <c r="M646">
        <v>58541.61</v>
      </c>
      <c r="N646">
        <f t="shared" si="11"/>
        <v>5583.3899999999994</v>
      </c>
      <c r="O646" t="s">
        <v>38</v>
      </c>
      <c r="P646" t="s">
        <v>31</v>
      </c>
      <c r="Q646" t="s">
        <v>39</v>
      </c>
    </row>
    <row r="647" spans="1:17" x14ac:dyDescent="0.3">
      <c r="A647" t="s">
        <v>725</v>
      </c>
      <c r="B647" s="1">
        <v>45460</v>
      </c>
      <c r="C647" t="s">
        <v>18</v>
      </c>
      <c r="D647" t="s">
        <v>41</v>
      </c>
      <c r="E647" t="s">
        <v>75</v>
      </c>
      <c r="F647" t="s">
        <v>76</v>
      </c>
      <c r="G647" t="s">
        <v>77</v>
      </c>
      <c r="H647">
        <v>8000</v>
      </c>
      <c r="I647">
        <v>2</v>
      </c>
      <c r="J647">
        <v>5</v>
      </c>
      <c r="K647">
        <v>25</v>
      </c>
      <c r="L647">
        <v>15200</v>
      </c>
      <c r="M647">
        <v>14163.3</v>
      </c>
      <c r="N647">
        <f t="shared" si="11"/>
        <v>1036.7000000000007</v>
      </c>
      <c r="O647" t="s">
        <v>38</v>
      </c>
      <c r="P647" t="s">
        <v>31</v>
      </c>
      <c r="Q647" t="s">
        <v>39</v>
      </c>
    </row>
    <row r="648" spans="1:17" x14ac:dyDescent="0.3">
      <c r="A648" t="s">
        <v>726</v>
      </c>
      <c r="B648" s="1">
        <v>45353</v>
      </c>
      <c r="C648" t="s">
        <v>34</v>
      </c>
      <c r="D648" t="s">
        <v>19</v>
      </c>
      <c r="E648" t="s">
        <v>28</v>
      </c>
      <c r="F648" t="s">
        <v>29</v>
      </c>
      <c r="G648" t="s">
        <v>30</v>
      </c>
      <c r="H648">
        <v>1800</v>
      </c>
      <c r="I648">
        <v>6</v>
      </c>
      <c r="J648">
        <v>5</v>
      </c>
      <c r="K648">
        <v>10</v>
      </c>
      <c r="L648">
        <v>10260</v>
      </c>
      <c r="M648">
        <v>9060.83</v>
      </c>
      <c r="N648">
        <f t="shared" si="11"/>
        <v>1199.17</v>
      </c>
      <c r="O648" t="s">
        <v>38</v>
      </c>
      <c r="P648" t="s">
        <v>31</v>
      </c>
      <c r="Q648" t="s">
        <v>39</v>
      </c>
    </row>
    <row r="649" spans="1:17" x14ac:dyDescent="0.3">
      <c r="A649" t="s">
        <v>727</v>
      </c>
      <c r="B649" s="1">
        <v>45313</v>
      </c>
      <c r="C649" t="s">
        <v>53</v>
      </c>
      <c r="D649" t="s">
        <v>35</v>
      </c>
      <c r="E649" t="s">
        <v>100</v>
      </c>
      <c r="F649" t="s">
        <v>46</v>
      </c>
      <c r="G649" t="s">
        <v>55</v>
      </c>
      <c r="H649">
        <v>2500</v>
      </c>
      <c r="I649">
        <v>10</v>
      </c>
      <c r="J649">
        <v>15</v>
      </c>
      <c r="K649">
        <v>0</v>
      </c>
      <c r="L649">
        <v>21250</v>
      </c>
      <c r="M649">
        <v>18247.22</v>
      </c>
      <c r="N649">
        <f t="shared" si="11"/>
        <v>3002.7799999999988</v>
      </c>
      <c r="O649" t="s">
        <v>23</v>
      </c>
      <c r="P649" t="s">
        <v>31</v>
      </c>
      <c r="Q649" t="s">
        <v>32</v>
      </c>
    </row>
    <row r="650" spans="1:17" x14ac:dyDescent="0.3">
      <c r="A650" t="s">
        <v>728</v>
      </c>
      <c r="B650" s="1">
        <v>45352</v>
      </c>
      <c r="C650" t="s">
        <v>53</v>
      </c>
      <c r="D650" t="s">
        <v>70</v>
      </c>
      <c r="E650" t="s">
        <v>104</v>
      </c>
      <c r="F650" t="s">
        <v>29</v>
      </c>
      <c r="G650" t="s">
        <v>30</v>
      </c>
      <c r="H650">
        <v>1200</v>
      </c>
      <c r="I650">
        <v>4</v>
      </c>
      <c r="J650">
        <v>15</v>
      </c>
      <c r="K650">
        <v>15</v>
      </c>
      <c r="L650">
        <v>4080</v>
      </c>
      <c r="M650">
        <v>3472.36</v>
      </c>
      <c r="N650">
        <f t="shared" si="11"/>
        <v>607.63999999999987</v>
      </c>
      <c r="O650" t="s">
        <v>23</v>
      </c>
      <c r="P650" t="s">
        <v>31</v>
      </c>
      <c r="Q650" t="s">
        <v>32</v>
      </c>
    </row>
    <row r="651" spans="1:17" x14ac:dyDescent="0.3">
      <c r="A651" t="s">
        <v>729</v>
      </c>
      <c r="B651" s="1">
        <v>45441</v>
      </c>
      <c r="C651" t="s">
        <v>18</v>
      </c>
      <c r="D651" t="s">
        <v>70</v>
      </c>
      <c r="E651" t="s">
        <v>28</v>
      </c>
      <c r="F651" t="s">
        <v>29</v>
      </c>
      <c r="G651" t="s">
        <v>30</v>
      </c>
      <c r="H651">
        <v>1800</v>
      </c>
      <c r="I651">
        <v>4</v>
      </c>
      <c r="J651">
        <v>15</v>
      </c>
      <c r="K651">
        <v>5</v>
      </c>
      <c r="L651">
        <v>6120</v>
      </c>
      <c r="M651">
        <v>5391.76</v>
      </c>
      <c r="N651">
        <f t="shared" si="11"/>
        <v>728.23999999999978</v>
      </c>
      <c r="O651" t="s">
        <v>23</v>
      </c>
      <c r="P651" t="s">
        <v>31</v>
      </c>
      <c r="Q651" t="s">
        <v>32</v>
      </c>
    </row>
    <row r="652" spans="1:17" x14ac:dyDescent="0.3">
      <c r="A652" t="s">
        <v>730</v>
      </c>
      <c r="B652" s="1">
        <v>45299</v>
      </c>
      <c r="C652" t="s">
        <v>53</v>
      </c>
      <c r="D652" t="s">
        <v>35</v>
      </c>
      <c r="E652" t="s">
        <v>54</v>
      </c>
      <c r="F652" t="s">
        <v>46</v>
      </c>
      <c r="G652" t="s">
        <v>55</v>
      </c>
      <c r="H652">
        <v>4500</v>
      </c>
      <c r="I652">
        <v>14</v>
      </c>
      <c r="J652">
        <v>10</v>
      </c>
      <c r="K652">
        <v>15</v>
      </c>
      <c r="L652">
        <v>56700</v>
      </c>
      <c r="M652">
        <v>52016.62</v>
      </c>
      <c r="N652">
        <f t="shared" si="11"/>
        <v>4683.3799999999974</v>
      </c>
      <c r="O652" t="s">
        <v>38</v>
      </c>
      <c r="P652" t="s">
        <v>31</v>
      </c>
      <c r="Q652" t="s">
        <v>39</v>
      </c>
    </row>
    <row r="653" spans="1:17" x14ac:dyDescent="0.3">
      <c r="A653" t="s">
        <v>731</v>
      </c>
      <c r="B653" s="1">
        <v>45398</v>
      </c>
      <c r="C653" t="s">
        <v>49</v>
      </c>
      <c r="D653" t="s">
        <v>41</v>
      </c>
      <c r="E653" t="s">
        <v>42</v>
      </c>
      <c r="F653" t="s">
        <v>29</v>
      </c>
      <c r="G653" t="s">
        <v>43</v>
      </c>
      <c r="H653">
        <v>500</v>
      </c>
      <c r="I653">
        <v>5</v>
      </c>
      <c r="J653">
        <v>10</v>
      </c>
      <c r="K653">
        <v>0</v>
      </c>
      <c r="L653">
        <v>2250</v>
      </c>
      <c r="M653">
        <v>1979.73</v>
      </c>
      <c r="N653">
        <f t="shared" si="11"/>
        <v>270.27</v>
      </c>
      <c r="O653" t="s">
        <v>23</v>
      </c>
      <c r="P653" t="s">
        <v>31</v>
      </c>
      <c r="Q653" t="s">
        <v>32</v>
      </c>
    </row>
    <row r="654" spans="1:17" x14ac:dyDescent="0.3">
      <c r="A654" t="s">
        <v>732</v>
      </c>
      <c r="B654" s="1">
        <v>45388</v>
      </c>
      <c r="C654" t="s">
        <v>49</v>
      </c>
      <c r="D654" t="s">
        <v>19</v>
      </c>
      <c r="E654" t="s">
        <v>75</v>
      </c>
      <c r="F654" t="s">
        <v>76</v>
      </c>
      <c r="G654" t="s">
        <v>77</v>
      </c>
      <c r="H654">
        <v>8000</v>
      </c>
      <c r="I654">
        <v>9</v>
      </c>
      <c r="J654">
        <v>5</v>
      </c>
      <c r="K654">
        <v>25</v>
      </c>
      <c r="L654">
        <v>68400</v>
      </c>
      <c r="M654">
        <v>69777.17</v>
      </c>
      <c r="N654">
        <f t="shared" si="11"/>
        <v>-1377.1699999999983</v>
      </c>
      <c r="O654" t="s">
        <v>38</v>
      </c>
      <c r="P654" t="s">
        <v>24</v>
      </c>
      <c r="Q654" t="s">
        <v>39</v>
      </c>
    </row>
    <row r="655" spans="1:17" x14ac:dyDescent="0.3">
      <c r="A655" t="s">
        <v>733</v>
      </c>
      <c r="B655" s="1">
        <v>45434</v>
      </c>
      <c r="C655" t="s">
        <v>49</v>
      </c>
      <c r="D655" t="s">
        <v>27</v>
      </c>
      <c r="E655" t="s">
        <v>90</v>
      </c>
      <c r="F655" t="s">
        <v>29</v>
      </c>
      <c r="G655" t="s">
        <v>37</v>
      </c>
      <c r="H655">
        <v>6500</v>
      </c>
      <c r="I655">
        <v>6</v>
      </c>
      <c r="J655">
        <v>5</v>
      </c>
      <c r="K655">
        <v>20</v>
      </c>
      <c r="L655">
        <v>37050</v>
      </c>
      <c r="M655">
        <v>38787.040000000001</v>
      </c>
      <c r="N655">
        <f t="shared" si="11"/>
        <v>-1737.0400000000009</v>
      </c>
      <c r="O655" t="s">
        <v>38</v>
      </c>
      <c r="P655" t="s">
        <v>24</v>
      </c>
      <c r="Q655" t="s">
        <v>39</v>
      </c>
    </row>
    <row r="656" spans="1:17" x14ac:dyDescent="0.3">
      <c r="A656" t="s">
        <v>734</v>
      </c>
      <c r="B656" s="1">
        <v>45421</v>
      </c>
      <c r="C656" t="s">
        <v>34</v>
      </c>
      <c r="D656" t="s">
        <v>27</v>
      </c>
      <c r="E656" t="s">
        <v>36</v>
      </c>
      <c r="F656" t="s">
        <v>29</v>
      </c>
      <c r="G656" t="s">
        <v>37</v>
      </c>
      <c r="H656">
        <v>1200</v>
      </c>
      <c r="I656">
        <v>10</v>
      </c>
      <c r="J656">
        <v>15</v>
      </c>
      <c r="K656">
        <v>10</v>
      </c>
      <c r="L656">
        <v>10200</v>
      </c>
      <c r="M656">
        <v>9281.18</v>
      </c>
      <c r="N656">
        <f t="shared" si="11"/>
        <v>918.81999999999971</v>
      </c>
      <c r="O656" t="s">
        <v>23</v>
      </c>
      <c r="P656" t="s">
        <v>31</v>
      </c>
      <c r="Q656" t="s">
        <v>32</v>
      </c>
    </row>
    <row r="657" spans="1:17" x14ac:dyDescent="0.3">
      <c r="A657" t="s">
        <v>735</v>
      </c>
      <c r="B657" s="1">
        <v>45302</v>
      </c>
      <c r="C657" t="s">
        <v>49</v>
      </c>
      <c r="D657" t="s">
        <v>19</v>
      </c>
      <c r="E657" t="s">
        <v>45</v>
      </c>
      <c r="F657" t="s">
        <v>46</v>
      </c>
      <c r="G657" t="s">
        <v>47</v>
      </c>
      <c r="H657">
        <v>15000</v>
      </c>
      <c r="I657">
        <v>8</v>
      </c>
      <c r="J657">
        <v>5</v>
      </c>
      <c r="K657">
        <v>15</v>
      </c>
      <c r="L657">
        <v>114000</v>
      </c>
      <c r="M657">
        <v>115491.88</v>
      </c>
      <c r="N657">
        <f t="shared" si="11"/>
        <v>-1491.8800000000047</v>
      </c>
      <c r="O657" t="s">
        <v>38</v>
      </c>
      <c r="P657" t="s">
        <v>24</v>
      </c>
      <c r="Q657" t="s">
        <v>39</v>
      </c>
    </row>
    <row r="658" spans="1:17" x14ac:dyDescent="0.3">
      <c r="A658" t="s">
        <v>736</v>
      </c>
      <c r="B658" s="1">
        <v>45430</v>
      </c>
      <c r="C658" t="s">
        <v>53</v>
      </c>
      <c r="D658" t="s">
        <v>70</v>
      </c>
      <c r="E658" t="s">
        <v>167</v>
      </c>
      <c r="F658" t="s">
        <v>21</v>
      </c>
      <c r="G658" t="s">
        <v>82</v>
      </c>
      <c r="H658">
        <v>7000</v>
      </c>
      <c r="I658">
        <v>11</v>
      </c>
      <c r="J658">
        <v>10</v>
      </c>
      <c r="K658">
        <v>15</v>
      </c>
      <c r="L658">
        <v>69300</v>
      </c>
      <c r="M658">
        <v>61818.82</v>
      </c>
      <c r="N658">
        <f t="shared" si="11"/>
        <v>7481.18</v>
      </c>
      <c r="O658" t="s">
        <v>38</v>
      </c>
      <c r="P658" t="s">
        <v>31</v>
      </c>
      <c r="Q658" t="s">
        <v>39</v>
      </c>
    </row>
    <row r="659" spans="1:17" x14ac:dyDescent="0.3">
      <c r="A659" t="s">
        <v>737</v>
      </c>
      <c r="B659" s="1">
        <v>45378</v>
      </c>
      <c r="C659" t="s">
        <v>53</v>
      </c>
      <c r="D659" t="s">
        <v>27</v>
      </c>
      <c r="E659" t="s">
        <v>140</v>
      </c>
      <c r="F659" t="s">
        <v>141</v>
      </c>
      <c r="G659" t="s">
        <v>142</v>
      </c>
      <c r="H659">
        <v>12000</v>
      </c>
      <c r="I659">
        <v>15</v>
      </c>
      <c r="J659">
        <v>15</v>
      </c>
      <c r="K659">
        <v>20</v>
      </c>
      <c r="L659">
        <v>153000</v>
      </c>
      <c r="M659">
        <v>137955.31</v>
      </c>
      <c r="N659">
        <f t="shared" si="11"/>
        <v>15044.690000000002</v>
      </c>
      <c r="O659" t="s">
        <v>38</v>
      </c>
      <c r="P659" t="s">
        <v>31</v>
      </c>
      <c r="Q659" t="s">
        <v>39</v>
      </c>
    </row>
    <row r="660" spans="1:17" x14ac:dyDescent="0.3">
      <c r="A660" t="s">
        <v>738</v>
      </c>
      <c r="B660" s="1">
        <v>45332</v>
      </c>
      <c r="C660" t="s">
        <v>18</v>
      </c>
      <c r="D660" t="s">
        <v>70</v>
      </c>
      <c r="E660" t="s">
        <v>75</v>
      </c>
      <c r="F660" t="s">
        <v>76</v>
      </c>
      <c r="G660" t="s">
        <v>77</v>
      </c>
      <c r="H660">
        <v>8000</v>
      </c>
      <c r="I660">
        <v>7</v>
      </c>
      <c r="J660">
        <v>5</v>
      </c>
      <c r="K660">
        <v>15</v>
      </c>
      <c r="L660">
        <v>53200</v>
      </c>
      <c r="M660">
        <v>46399.42</v>
      </c>
      <c r="N660">
        <f t="shared" si="11"/>
        <v>6800.5800000000017</v>
      </c>
      <c r="O660" t="s">
        <v>38</v>
      </c>
      <c r="P660" t="s">
        <v>31</v>
      </c>
      <c r="Q660" t="s">
        <v>39</v>
      </c>
    </row>
    <row r="661" spans="1:17" x14ac:dyDescent="0.3">
      <c r="A661" t="s">
        <v>739</v>
      </c>
      <c r="B661" s="1">
        <v>45405</v>
      </c>
      <c r="C661" t="s">
        <v>34</v>
      </c>
      <c r="D661" t="s">
        <v>35</v>
      </c>
      <c r="E661" t="s">
        <v>129</v>
      </c>
      <c r="F661" t="s">
        <v>21</v>
      </c>
      <c r="G661" t="s">
        <v>82</v>
      </c>
      <c r="H661">
        <v>3500</v>
      </c>
      <c r="I661">
        <v>14</v>
      </c>
      <c r="J661">
        <v>15</v>
      </c>
      <c r="K661">
        <v>5</v>
      </c>
      <c r="L661">
        <v>41650</v>
      </c>
      <c r="M661">
        <v>38773.19</v>
      </c>
      <c r="N661">
        <f t="shared" si="11"/>
        <v>2876.8099999999977</v>
      </c>
      <c r="O661" t="s">
        <v>23</v>
      </c>
      <c r="P661" t="s">
        <v>31</v>
      </c>
      <c r="Q661" t="s">
        <v>32</v>
      </c>
    </row>
    <row r="662" spans="1:17" x14ac:dyDescent="0.3">
      <c r="A662" t="s">
        <v>740</v>
      </c>
      <c r="B662" s="1">
        <v>45420</v>
      </c>
      <c r="C662" t="s">
        <v>49</v>
      </c>
      <c r="D662" t="s">
        <v>92</v>
      </c>
      <c r="E662" t="s">
        <v>155</v>
      </c>
      <c r="F662" t="s">
        <v>21</v>
      </c>
      <c r="G662" t="s">
        <v>72</v>
      </c>
      <c r="H662">
        <v>35000</v>
      </c>
      <c r="I662">
        <v>8</v>
      </c>
      <c r="J662">
        <v>15</v>
      </c>
      <c r="K662">
        <v>15</v>
      </c>
      <c r="L662">
        <v>238000</v>
      </c>
      <c r="M662">
        <v>209428.01</v>
      </c>
      <c r="N662">
        <f t="shared" si="11"/>
        <v>28571.989999999991</v>
      </c>
      <c r="O662" t="s">
        <v>23</v>
      </c>
      <c r="P662" t="s">
        <v>31</v>
      </c>
      <c r="Q662" t="s">
        <v>32</v>
      </c>
    </row>
    <row r="663" spans="1:17" x14ac:dyDescent="0.3">
      <c r="A663" t="s">
        <v>741</v>
      </c>
      <c r="B663" s="1">
        <v>45294</v>
      </c>
      <c r="C663" t="s">
        <v>49</v>
      </c>
      <c r="D663" t="s">
        <v>19</v>
      </c>
      <c r="E663" t="s">
        <v>129</v>
      </c>
      <c r="F663" t="s">
        <v>21</v>
      </c>
      <c r="G663" t="s">
        <v>82</v>
      </c>
      <c r="H663">
        <v>3500</v>
      </c>
      <c r="I663">
        <v>6</v>
      </c>
      <c r="J663">
        <v>5</v>
      </c>
      <c r="K663">
        <v>20</v>
      </c>
      <c r="L663">
        <v>19950</v>
      </c>
      <c r="M663">
        <v>17058.48</v>
      </c>
      <c r="N663">
        <f t="shared" si="11"/>
        <v>2891.5200000000004</v>
      </c>
      <c r="O663" t="s">
        <v>38</v>
      </c>
      <c r="P663" t="s">
        <v>31</v>
      </c>
      <c r="Q663" t="s">
        <v>39</v>
      </c>
    </row>
    <row r="664" spans="1:17" x14ac:dyDescent="0.3">
      <c r="A664" t="s">
        <v>742</v>
      </c>
      <c r="B664" s="1">
        <v>45370</v>
      </c>
      <c r="C664" t="s">
        <v>18</v>
      </c>
      <c r="D664" t="s">
        <v>92</v>
      </c>
      <c r="E664" t="s">
        <v>67</v>
      </c>
      <c r="F664" t="s">
        <v>29</v>
      </c>
      <c r="G664" t="s">
        <v>68</v>
      </c>
      <c r="H664">
        <v>1200</v>
      </c>
      <c r="I664">
        <v>2</v>
      </c>
      <c r="J664">
        <v>5</v>
      </c>
      <c r="K664">
        <v>10</v>
      </c>
      <c r="L664">
        <v>2280</v>
      </c>
      <c r="M664">
        <v>2031.11</v>
      </c>
      <c r="N664">
        <f t="shared" si="11"/>
        <v>248.8900000000001</v>
      </c>
      <c r="O664" t="s">
        <v>38</v>
      </c>
      <c r="P664" t="s">
        <v>31</v>
      </c>
      <c r="Q664" t="s">
        <v>39</v>
      </c>
    </row>
    <row r="665" spans="1:17" x14ac:dyDescent="0.3">
      <c r="A665" t="s">
        <v>743</v>
      </c>
      <c r="B665" s="1">
        <v>45418</v>
      </c>
      <c r="C665" t="s">
        <v>18</v>
      </c>
      <c r="D665" t="s">
        <v>35</v>
      </c>
      <c r="E665" t="s">
        <v>151</v>
      </c>
      <c r="F665" t="s">
        <v>141</v>
      </c>
      <c r="G665" t="s">
        <v>142</v>
      </c>
      <c r="H665">
        <v>3500</v>
      </c>
      <c r="I665">
        <v>9</v>
      </c>
      <c r="J665">
        <v>10</v>
      </c>
      <c r="K665">
        <v>5</v>
      </c>
      <c r="L665">
        <v>28350</v>
      </c>
      <c r="M665">
        <v>26321.94</v>
      </c>
      <c r="N665">
        <f t="shared" si="11"/>
        <v>2028.0600000000013</v>
      </c>
      <c r="O665" t="s">
        <v>23</v>
      </c>
      <c r="P665" t="s">
        <v>31</v>
      </c>
      <c r="Q665" t="s">
        <v>32</v>
      </c>
    </row>
    <row r="666" spans="1:17" x14ac:dyDescent="0.3">
      <c r="A666" t="s">
        <v>744</v>
      </c>
      <c r="B666" s="1">
        <v>45324</v>
      </c>
      <c r="C666" t="s">
        <v>49</v>
      </c>
      <c r="D666" t="s">
        <v>41</v>
      </c>
      <c r="E666" t="s">
        <v>71</v>
      </c>
      <c r="F666" t="s">
        <v>21</v>
      </c>
      <c r="G666" t="s">
        <v>72</v>
      </c>
      <c r="H666">
        <v>60000</v>
      </c>
      <c r="I666">
        <v>5</v>
      </c>
      <c r="J666">
        <v>15</v>
      </c>
      <c r="K666">
        <v>15</v>
      </c>
      <c r="L666">
        <v>255000</v>
      </c>
      <c r="M666">
        <v>228326.08</v>
      </c>
      <c r="N666">
        <f t="shared" si="11"/>
        <v>26673.920000000013</v>
      </c>
      <c r="O666" t="s">
        <v>23</v>
      </c>
      <c r="P666" t="s">
        <v>31</v>
      </c>
      <c r="Q666" t="s">
        <v>32</v>
      </c>
    </row>
    <row r="667" spans="1:17" x14ac:dyDescent="0.3">
      <c r="A667" t="s">
        <v>745</v>
      </c>
      <c r="B667" s="1">
        <v>45332</v>
      </c>
      <c r="C667" t="s">
        <v>53</v>
      </c>
      <c r="D667" t="s">
        <v>19</v>
      </c>
      <c r="E667" t="s">
        <v>75</v>
      </c>
      <c r="F667" t="s">
        <v>76</v>
      </c>
      <c r="G667" t="s">
        <v>77</v>
      </c>
      <c r="H667">
        <v>8000</v>
      </c>
      <c r="I667">
        <v>4</v>
      </c>
      <c r="J667">
        <v>10</v>
      </c>
      <c r="K667">
        <v>25</v>
      </c>
      <c r="L667">
        <v>28800</v>
      </c>
      <c r="M667">
        <v>26807.95</v>
      </c>
      <c r="N667">
        <f t="shared" si="11"/>
        <v>1992.0499999999993</v>
      </c>
      <c r="O667" t="s">
        <v>38</v>
      </c>
      <c r="P667" t="s">
        <v>31</v>
      </c>
      <c r="Q667" t="s">
        <v>39</v>
      </c>
    </row>
    <row r="668" spans="1:17" x14ac:dyDescent="0.3">
      <c r="A668" t="s">
        <v>746</v>
      </c>
      <c r="B668" s="1">
        <v>45343</v>
      </c>
      <c r="C668" t="s">
        <v>53</v>
      </c>
      <c r="D668" t="s">
        <v>70</v>
      </c>
      <c r="E668" t="s">
        <v>20</v>
      </c>
      <c r="F668" t="s">
        <v>21</v>
      </c>
      <c r="G668" t="s">
        <v>22</v>
      </c>
      <c r="H668">
        <v>6000</v>
      </c>
      <c r="I668">
        <v>10</v>
      </c>
      <c r="J668">
        <v>15</v>
      </c>
      <c r="K668">
        <v>15</v>
      </c>
      <c r="L668">
        <v>51000</v>
      </c>
      <c r="M668">
        <v>51114.5</v>
      </c>
      <c r="N668">
        <f t="shared" si="11"/>
        <v>-114.5</v>
      </c>
      <c r="O668" t="s">
        <v>23</v>
      </c>
      <c r="P668" t="s">
        <v>24</v>
      </c>
      <c r="Q668" t="s">
        <v>25</v>
      </c>
    </row>
    <row r="669" spans="1:17" x14ac:dyDescent="0.3">
      <c r="A669" t="s">
        <v>747</v>
      </c>
      <c r="B669" s="1">
        <v>45426</v>
      </c>
      <c r="C669" t="s">
        <v>34</v>
      </c>
      <c r="D669" t="s">
        <v>70</v>
      </c>
      <c r="E669" t="s">
        <v>36</v>
      </c>
      <c r="F669" t="s">
        <v>29</v>
      </c>
      <c r="G669" t="s">
        <v>37</v>
      </c>
      <c r="H669">
        <v>1200</v>
      </c>
      <c r="I669">
        <v>14</v>
      </c>
      <c r="J669">
        <v>5</v>
      </c>
      <c r="K669">
        <v>0</v>
      </c>
      <c r="L669">
        <v>15960</v>
      </c>
      <c r="M669">
        <v>14139.53</v>
      </c>
      <c r="N669">
        <f t="shared" si="11"/>
        <v>1820.4699999999993</v>
      </c>
      <c r="O669" t="s">
        <v>23</v>
      </c>
      <c r="P669" t="s">
        <v>31</v>
      </c>
      <c r="Q669" t="s">
        <v>32</v>
      </c>
    </row>
    <row r="670" spans="1:17" x14ac:dyDescent="0.3">
      <c r="A670" t="s">
        <v>748</v>
      </c>
      <c r="B670" s="1">
        <v>45458</v>
      </c>
      <c r="C670" t="s">
        <v>18</v>
      </c>
      <c r="D670" t="s">
        <v>92</v>
      </c>
      <c r="E670" t="s">
        <v>90</v>
      </c>
      <c r="F670" t="s">
        <v>29</v>
      </c>
      <c r="G670" t="s">
        <v>37</v>
      </c>
      <c r="H670">
        <v>6500</v>
      </c>
      <c r="I670">
        <v>6</v>
      </c>
      <c r="J670">
        <v>10</v>
      </c>
      <c r="K670">
        <v>25</v>
      </c>
      <c r="L670">
        <v>35100</v>
      </c>
      <c r="M670">
        <v>30268.47</v>
      </c>
      <c r="N670">
        <f t="shared" si="11"/>
        <v>4831.5299999999988</v>
      </c>
      <c r="O670" t="s">
        <v>38</v>
      </c>
      <c r="P670" t="s">
        <v>31</v>
      </c>
      <c r="Q670" t="s">
        <v>39</v>
      </c>
    </row>
    <row r="671" spans="1:17" x14ac:dyDescent="0.3">
      <c r="A671" t="s">
        <v>749</v>
      </c>
      <c r="B671" s="1">
        <v>45313</v>
      </c>
      <c r="C671" t="s">
        <v>34</v>
      </c>
      <c r="D671" t="s">
        <v>70</v>
      </c>
      <c r="E671" t="s">
        <v>45</v>
      </c>
      <c r="F671" t="s">
        <v>46</v>
      </c>
      <c r="G671" t="s">
        <v>47</v>
      </c>
      <c r="H671">
        <v>15000</v>
      </c>
      <c r="I671">
        <v>5</v>
      </c>
      <c r="J671">
        <v>5</v>
      </c>
      <c r="K671">
        <v>0</v>
      </c>
      <c r="L671">
        <v>71250</v>
      </c>
      <c r="M671">
        <v>67317.27</v>
      </c>
      <c r="N671">
        <f t="shared" si="11"/>
        <v>3932.7299999999959</v>
      </c>
      <c r="O671" t="s">
        <v>23</v>
      </c>
      <c r="P671" t="s">
        <v>31</v>
      </c>
      <c r="Q671" t="s">
        <v>32</v>
      </c>
    </row>
    <row r="672" spans="1:17" x14ac:dyDescent="0.3">
      <c r="A672" t="s">
        <v>750</v>
      </c>
      <c r="B672" s="1">
        <v>45472</v>
      </c>
      <c r="C672" t="s">
        <v>18</v>
      </c>
      <c r="D672" t="s">
        <v>19</v>
      </c>
      <c r="E672" t="s">
        <v>54</v>
      </c>
      <c r="F672" t="s">
        <v>46</v>
      </c>
      <c r="G672" t="s">
        <v>55</v>
      </c>
      <c r="H672">
        <v>4500</v>
      </c>
      <c r="I672">
        <v>5</v>
      </c>
      <c r="J672">
        <v>10</v>
      </c>
      <c r="K672">
        <v>25</v>
      </c>
      <c r="L672">
        <v>20250</v>
      </c>
      <c r="M672">
        <v>20563.259999999998</v>
      </c>
      <c r="N672">
        <f t="shared" si="11"/>
        <v>-313.2599999999984</v>
      </c>
      <c r="O672" t="s">
        <v>38</v>
      </c>
      <c r="P672" t="s">
        <v>24</v>
      </c>
      <c r="Q672" t="s">
        <v>39</v>
      </c>
    </row>
    <row r="673" spans="1:17" x14ac:dyDescent="0.3">
      <c r="A673" t="s">
        <v>751</v>
      </c>
      <c r="B673" s="1">
        <v>45404</v>
      </c>
      <c r="C673" t="s">
        <v>18</v>
      </c>
      <c r="D673" t="s">
        <v>41</v>
      </c>
      <c r="E673" t="s">
        <v>100</v>
      </c>
      <c r="F673" t="s">
        <v>46</v>
      </c>
      <c r="G673" t="s">
        <v>55</v>
      </c>
      <c r="H673">
        <v>2500</v>
      </c>
      <c r="I673">
        <v>14</v>
      </c>
      <c r="J673">
        <v>5</v>
      </c>
      <c r="K673">
        <v>0</v>
      </c>
      <c r="L673">
        <v>33250</v>
      </c>
      <c r="M673">
        <v>31498.799999999999</v>
      </c>
      <c r="N673">
        <f t="shared" si="11"/>
        <v>1751.2000000000007</v>
      </c>
      <c r="O673" t="s">
        <v>23</v>
      </c>
      <c r="P673" t="s">
        <v>31</v>
      </c>
      <c r="Q673" t="s">
        <v>32</v>
      </c>
    </row>
    <row r="674" spans="1:17" x14ac:dyDescent="0.3">
      <c r="A674" t="s">
        <v>752</v>
      </c>
      <c r="B674" s="1">
        <v>45395</v>
      </c>
      <c r="C674" t="s">
        <v>53</v>
      </c>
      <c r="D674" t="s">
        <v>35</v>
      </c>
      <c r="E674" t="s">
        <v>28</v>
      </c>
      <c r="F674" t="s">
        <v>29</v>
      </c>
      <c r="G674" t="s">
        <v>30</v>
      </c>
      <c r="H674">
        <v>1800</v>
      </c>
      <c r="I674">
        <v>9</v>
      </c>
      <c r="J674">
        <v>10</v>
      </c>
      <c r="K674">
        <v>15</v>
      </c>
      <c r="L674">
        <v>14580</v>
      </c>
      <c r="M674">
        <v>14352.65</v>
      </c>
      <c r="N674">
        <f t="shared" si="11"/>
        <v>227.35000000000036</v>
      </c>
      <c r="O674" t="s">
        <v>38</v>
      </c>
      <c r="P674" t="s">
        <v>31</v>
      </c>
      <c r="Q674" t="s">
        <v>39</v>
      </c>
    </row>
    <row r="675" spans="1:17" x14ac:dyDescent="0.3">
      <c r="A675" t="s">
        <v>753</v>
      </c>
      <c r="B675" s="1">
        <v>45350</v>
      </c>
      <c r="C675" t="s">
        <v>18</v>
      </c>
      <c r="D675" t="s">
        <v>41</v>
      </c>
      <c r="E675" t="s">
        <v>54</v>
      </c>
      <c r="F675" t="s">
        <v>46</v>
      </c>
      <c r="G675" t="s">
        <v>55</v>
      </c>
      <c r="H675">
        <v>4500</v>
      </c>
      <c r="I675">
        <v>2</v>
      </c>
      <c r="J675">
        <v>15</v>
      </c>
      <c r="K675">
        <v>20</v>
      </c>
      <c r="L675">
        <v>7650</v>
      </c>
      <c r="M675">
        <v>6850.8</v>
      </c>
      <c r="N675">
        <f t="shared" si="11"/>
        <v>799.19999999999982</v>
      </c>
      <c r="O675" t="s">
        <v>38</v>
      </c>
      <c r="P675" t="s">
        <v>31</v>
      </c>
      <c r="Q675" t="s">
        <v>39</v>
      </c>
    </row>
    <row r="676" spans="1:17" x14ac:dyDescent="0.3">
      <c r="A676" t="s">
        <v>754</v>
      </c>
      <c r="B676" s="1">
        <v>45309</v>
      </c>
      <c r="C676" t="s">
        <v>34</v>
      </c>
      <c r="D676" t="s">
        <v>27</v>
      </c>
      <c r="E676" t="s">
        <v>75</v>
      </c>
      <c r="F676" t="s">
        <v>76</v>
      </c>
      <c r="G676" t="s">
        <v>77</v>
      </c>
      <c r="H676">
        <v>8000</v>
      </c>
      <c r="I676">
        <v>10</v>
      </c>
      <c r="J676">
        <v>10</v>
      </c>
      <c r="K676">
        <v>20</v>
      </c>
      <c r="L676">
        <v>72000</v>
      </c>
      <c r="M676">
        <v>63390.95</v>
      </c>
      <c r="N676">
        <f t="shared" si="11"/>
        <v>8609.0500000000029</v>
      </c>
      <c r="O676" t="s">
        <v>38</v>
      </c>
      <c r="P676" t="s">
        <v>31</v>
      </c>
      <c r="Q676" t="s">
        <v>39</v>
      </c>
    </row>
    <row r="677" spans="1:17" x14ac:dyDescent="0.3">
      <c r="A677" t="s">
        <v>755</v>
      </c>
      <c r="B677" s="1">
        <v>45335</v>
      </c>
      <c r="C677" t="s">
        <v>34</v>
      </c>
      <c r="D677" t="s">
        <v>41</v>
      </c>
      <c r="E677" t="s">
        <v>102</v>
      </c>
      <c r="F677" t="s">
        <v>29</v>
      </c>
      <c r="G677" t="s">
        <v>43</v>
      </c>
      <c r="H677">
        <v>1500</v>
      </c>
      <c r="I677">
        <v>13</v>
      </c>
      <c r="J677">
        <v>10</v>
      </c>
      <c r="K677">
        <v>10</v>
      </c>
      <c r="L677">
        <v>17550</v>
      </c>
      <c r="M677">
        <v>16908.7</v>
      </c>
      <c r="N677">
        <f t="shared" si="11"/>
        <v>641.29999999999927</v>
      </c>
      <c r="O677" t="s">
        <v>23</v>
      </c>
      <c r="P677" t="s">
        <v>31</v>
      </c>
      <c r="Q677" t="s">
        <v>32</v>
      </c>
    </row>
    <row r="678" spans="1:17" x14ac:dyDescent="0.3">
      <c r="A678" t="s">
        <v>756</v>
      </c>
      <c r="B678" s="1">
        <v>45393</v>
      </c>
      <c r="C678" t="s">
        <v>34</v>
      </c>
      <c r="D678" t="s">
        <v>35</v>
      </c>
      <c r="E678" t="s">
        <v>61</v>
      </c>
      <c r="F678" t="s">
        <v>29</v>
      </c>
      <c r="G678" t="s">
        <v>43</v>
      </c>
      <c r="H678">
        <v>2800</v>
      </c>
      <c r="I678">
        <v>5</v>
      </c>
      <c r="J678">
        <v>5</v>
      </c>
      <c r="K678">
        <v>5</v>
      </c>
      <c r="L678">
        <v>13300</v>
      </c>
      <c r="M678">
        <v>13011.53</v>
      </c>
      <c r="N678">
        <f t="shared" si="11"/>
        <v>288.46999999999935</v>
      </c>
      <c r="O678" t="s">
        <v>23</v>
      </c>
      <c r="P678" t="s">
        <v>31</v>
      </c>
      <c r="Q678" t="s">
        <v>32</v>
      </c>
    </row>
    <row r="679" spans="1:17" x14ac:dyDescent="0.3">
      <c r="A679" t="s">
        <v>757</v>
      </c>
      <c r="B679" s="1">
        <v>45358</v>
      </c>
      <c r="C679" t="s">
        <v>18</v>
      </c>
      <c r="D679" t="s">
        <v>70</v>
      </c>
      <c r="E679" t="s">
        <v>107</v>
      </c>
      <c r="F679" t="s">
        <v>108</v>
      </c>
      <c r="G679" t="s">
        <v>109</v>
      </c>
      <c r="H679">
        <v>18000</v>
      </c>
      <c r="I679">
        <v>9</v>
      </c>
      <c r="J679">
        <v>10</v>
      </c>
      <c r="K679">
        <v>15</v>
      </c>
      <c r="L679">
        <v>145800</v>
      </c>
      <c r="M679">
        <v>127598.3</v>
      </c>
      <c r="N679">
        <f t="shared" si="11"/>
        <v>18201.699999999997</v>
      </c>
      <c r="O679" t="s">
        <v>38</v>
      </c>
      <c r="P679" t="s">
        <v>31</v>
      </c>
      <c r="Q679" t="s">
        <v>39</v>
      </c>
    </row>
    <row r="680" spans="1:17" x14ac:dyDescent="0.3">
      <c r="A680" t="s">
        <v>758</v>
      </c>
      <c r="B680" s="1">
        <v>45299</v>
      </c>
      <c r="C680" t="s">
        <v>53</v>
      </c>
      <c r="D680" t="s">
        <v>35</v>
      </c>
      <c r="E680" t="s">
        <v>129</v>
      </c>
      <c r="F680" t="s">
        <v>21</v>
      </c>
      <c r="G680" t="s">
        <v>82</v>
      </c>
      <c r="H680">
        <v>3500</v>
      </c>
      <c r="I680">
        <v>9</v>
      </c>
      <c r="J680">
        <v>5</v>
      </c>
      <c r="K680">
        <v>5</v>
      </c>
      <c r="L680">
        <v>29925</v>
      </c>
      <c r="M680">
        <v>28160.36</v>
      </c>
      <c r="N680">
        <f t="shared" si="11"/>
        <v>1764.6399999999994</v>
      </c>
      <c r="O680" t="s">
        <v>23</v>
      </c>
      <c r="P680" t="s">
        <v>31</v>
      </c>
      <c r="Q680" t="s">
        <v>32</v>
      </c>
    </row>
    <row r="681" spans="1:17" x14ac:dyDescent="0.3">
      <c r="A681" t="s">
        <v>759</v>
      </c>
      <c r="B681" s="1">
        <v>45312</v>
      </c>
      <c r="C681" t="s">
        <v>49</v>
      </c>
      <c r="D681" t="s">
        <v>70</v>
      </c>
      <c r="E681" t="s">
        <v>28</v>
      </c>
      <c r="F681" t="s">
        <v>29</v>
      </c>
      <c r="G681" t="s">
        <v>30</v>
      </c>
      <c r="H681">
        <v>1800</v>
      </c>
      <c r="I681">
        <v>11</v>
      </c>
      <c r="J681">
        <v>5</v>
      </c>
      <c r="K681">
        <v>15</v>
      </c>
      <c r="L681">
        <v>18810</v>
      </c>
      <c r="M681">
        <v>17375</v>
      </c>
      <c r="N681">
        <f t="shared" si="11"/>
        <v>1435</v>
      </c>
      <c r="O681" t="s">
        <v>38</v>
      </c>
      <c r="P681" t="s">
        <v>31</v>
      </c>
      <c r="Q681" t="s">
        <v>39</v>
      </c>
    </row>
    <row r="682" spans="1:17" x14ac:dyDescent="0.3">
      <c r="A682" t="s">
        <v>760</v>
      </c>
      <c r="B682" s="1">
        <v>45334</v>
      </c>
      <c r="C682" t="s">
        <v>18</v>
      </c>
      <c r="D682" t="s">
        <v>70</v>
      </c>
      <c r="E682" t="s">
        <v>129</v>
      </c>
      <c r="F682" t="s">
        <v>21</v>
      </c>
      <c r="G682" t="s">
        <v>82</v>
      </c>
      <c r="H682">
        <v>3500</v>
      </c>
      <c r="I682">
        <v>6</v>
      </c>
      <c r="J682">
        <v>5</v>
      </c>
      <c r="K682">
        <v>20</v>
      </c>
      <c r="L682">
        <v>19950</v>
      </c>
      <c r="M682">
        <v>18049.900000000001</v>
      </c>
      <c r="N682">
        <f t="shared" si="11"/>
        <v>1900.0999999999985</v>
      </c>
      <c r="O682" t="s">
        <v>38</v>
      </c>
      <c r="P682" t="s">
        <v>31</v>
      </c>
      <c r="Q682" t="s">
        <v>39</v>
      </c>
    </row>
    <row r="683" spans="1:17" x14ac:dyDescent="0.3">
      <c r="A683" t="s">
        <v>761</v>
      </c>
      <c r="B683" s="1">
        <v>45467</v>
      </c>
      <c r="C683" t="s">
        <v>34</v>
      </c>
      <c r="D683" t="s">
        <v>70</v>
      </c>
      <c r="E683" t="s">
        <v>100</v>
      </c>
      <c r="F683" t="s">
        <v>46</v>
      </c>
      <c r="G683" t="s">
        <v>55</v>
      </c>
      <c r="H683">
        <v>2500</v>
      </c>
      <c r="I683">
        <v>6</v>
      </c>
      <c r="J683">
        <v>10</v>
      </c>
      <c r="K683">
        <v>15</v>
      </c>
      <c r="L683">
        <v>13500</v>
      </c>
      <c r="M683">
        <v>12385.47</v>
      </c>
      <c r="N683">
        <f t="shared" si="11"/>
        <v>1114.5300000000007</v>
      </c>
      <c r="O683" t="s">
        <v>38</v>
      </c>
      <c r="P683" t="s">
        <v>31</v>
      </c>
      <c r="Q683" t="s">
        <v>39</v>
      </c>
    </row>
    <row r="684" spans="1:17" x14ac:dyDescent="0.3">
      <c r="A684" t="s">
        <v>762</v>
      </c>
      <c r="B684" s="1">
        <v>45313</v>
      </c>
      <c r="C684" t="s">
        <v>34</v>
      </c>
      <c r="D684" t="s">
        <v>92</v>
      </c>
      <c r="E684" t="s">
        <v>36</v>
      </c>
      <c r="F684" t="s">
        <v>29</v>
      </c>
      <c r="G684" t="s">
        <v>37</v>
      </c>
      <c r="H684">
        <v>1200</v>
      </c>
      <c r="I684">
        <v>1</v>
      </c>
      <c r="J684">
        <v>15</v>
      </c>
      <c r="K684">
        <v>0</v>
      </c>
      <c r="L684">
        <v>1020</v>
      </c>
      <c r="M684">
        <v>1043</v>
      </c>
      <c r="N684">
        <f t="shared" si="11"/>
        <v>-23</v>
      </c>
      <c r="O684" t="s">
        <v>23</v>
      </c>
      <c r="P684" t="s">
        <v>24</v>
      </c>
      <c r="Q684" t="s">
        <v>25</v>
      </c>
    </row>
    <row r="685" spans="1:17" x14ac:dyDescent="0.3">
      <c r="A685" t="s">
        <v>763</v>
      </c>
      <c r="B685" s="1">
        <v>45449</v>
      </c>
      <c r="C685" t="s">
        <v>53</v>
      </c>
      <c r="D685" t="s">
        <v>35</v>
      </c>
      <c r="E685" t="s">
        <v>45</v>
      </c>
      <c r="F685" t="s">
        <v>46</v>
      </c>
      <c r="G685" t="s">
        <v>47</v>
      </c>
      <c r="H685">
        <v>15000</v>
      </c>
      <c r="I685">
        <v>13</v>
      </c>
      <c r="J685">
        <v>5</v>
      </c>
      <c r="K685">
        <v>25</v>
      </c>
      <c r="L685">
        <v>185250</v>
      </c>
      <c r="M685">
        <v>181905.24</v>
      </c>
      <c r="N685">
        <f t="shared" si="11"/>
        <v>3344.7600000000093</v>
      </c>
      <c r="O685" t="s">
        <v>38</v>
      </c>
      <c r="P685" t="s">
        <v>31</v>
      </c>
      <c r="Q685" t="s">
        <v>39</v>
      </c>
    </row>
    <row r="686" spans="1:17" x14ac:dyDescent="0.3">
      <c r="A686" t="s">
        <v>764</v>
      </c>
      <c r="B686" s="1">
        <v>45374</v>
      </c>
      <c r="C686" t="s">
        <v>53</v>
      </c>
      <c r="D686" t="s">
        <v>27</v>
      </c>
      <c r="E686" t="s">
        <v>167</v>
      </c>
      <c r="F686" t="s">
        <v>21</v>
      </c>
      <c r="G686" t="s">
        <v>82</v>
      </c>
      <c r="H686">
        <v>7000</v>
      </c>
      <c r="I686">
        <v>2</v>
      </c>
      <c r="J686">
        <v>5</v>
      </c>
      <c r="K686">
        <v>0</v>
      </c>
      <c r="L686">
        <v>13300</v>
      </c>
      <c r="M686">
        <v>11515.82</v>
      </c>
      <c r="N686">
        <f t="shared" si="11"/>
        <v>1784.1800000000003</v>
      </c>
      <c r="O686" t="s">
        <v>23</v>
      </c>
      <c r="P686" t="s">
        <v>31</v>
      </c>
      <c r="Q686" t="s">
        <v>32</v>
      </c>
    </row>
    <row r="687" spans="1:17" x14ac:dyDescent="0.3">
      <c r="A687" t="s">
        <v>765</v>
      </c>
      <c r="B687" s="1">
        <v>45457</v>
      </c>
      <c r="C687" t="s">
        <v>49</v>
      </c>
      <c r="D687" t="s">
        <v>19</v>
      </c>
      <c r="E687" t="s">
        <v>42</v>
      </c>
      <c r="F687" t="s">
        <v>29</v>
      </c>
      <c r="G687" t="s">
        <v>43</v>
      </c>
      <c r="H687">
        <v>500</v>
      </c>
      <c r="I687">
        <v>1</v>
      </c>
      <c r="J687">
        <v>5</v>
      </c>
      <c r="K687">
        <v>25</v>
      </c>
      <c r="L687">
        <v>475</v>
      </c>
      <c r="M687">
        <v>495.08</v>
      </c>
      <c r="N687">
        <f t="shared" si="11"/>
        <v>-20.079999999999984</v>
      </c>
      <c r="O687" t="s">
        <v>38</v>
      </c>
      <c r="P687" t="s">
        <v>24</v>
      </c>
      <c r="Q687" t="s">
        <v>39</v>
      </c>
    </row>
    <row r="688" spans="1:17" x14ac:dyDescent="0.3">
      <c r="A688" t="s">
        <v>766</v>
      </c>
      <c r="B688" s="1">
        <v>45450</v>
      </c>
      <c r="C688" t="s">
        <v>53</v>
      </c>
      <c r="D688" t="s">
        <v>41</v>
      </c>
      <c r="E688" t="s">
        <v>36</v>
      </c>
      <c r="F688" t="s">
        <v>29</v>
      </c>
      <c r="G688" t="s">
        <v>37</v>
      </c>
      <c r="H688">
        <v>1200</v>
      </c>
      <c r="I688">
        <v>12</v>
      </c>
      <c r="J688">
        <v>10</v>
      </c>
      <c r="K688">
        <v>20</v>
      </c>
      <c r="L688">
        <v>12960</v>
      </c>
      <c r="M688">
        <v>13393.08</v>
      </c>
      <c r="N688">
        <f t="shared" si="11"/>
        <v>-433.07999999999993</v>
      </c>
      <c r="O688" t="s">
        <v>38</v>
      </c>
      <c r="P688" t="s">
        <v>24</v>
      </c>
      <c r="Q688" t="s">
        <v>39</v>
      </c>
    </row>
    <row r="689" spans="1:17" x14ac:dyDescent="0.3">
      <c r="A689" t="s">
        <v>767</v>
      </c>
      <c r="B689" s="1">
        <v>45313</v>
      </c>
      <c r="C689" t="s">
        <v>53</v>
      </c>
      <c r="D689" t="s">
        <v>35</v>
      </c>
      <c r="E689" t="s">
        <v>67</v>
      </c>
      <c r="F689" t="s">
        <v>29</v>
      </c>
      <c r="G689" t="s">
        <v>68</v>
      </c>
      <c r="H689">
        <v>1200</v>
      </c>
      <c r="I689">
        <v>10</v>
      </c>
      <c r="J689">
        <v>15</v>
      </c>
      <c r="K689">
        <v>25</v>
      </c>
      <c r="L689">
        <v>10200</v>
      </c>
      <c r="M689">
        <v>10219.620000000001</v>
      </c>
      <c r="N689">
        <f t="shared" si="11"/>
        <v>-19.6200000000008</v>
      </c>
      <c r="O689" t="s">
        <v>38</v>
      </c>
      <c r="P689" t="s">
        <v>24</v>
      </c>
      <c r="Q689" t="s">
        <v>39</v>
      </c>
    </row>
    <row r="690" spans="1:17" x14ac:dyDescent="0.3">
      <c r="A690" t="s">
        <v>768</v>
      </c>
      <c r="B690" s="1">
        <v>45411</v>
      </c>
      <c r="C690" t="s">
        <v>34</v>
      </c>
      <c r="D690" t="s">
        <v>19</v>
      </c>
      <c r="E690" t="s">
        <v>28</v>
      </c>
      <c r="F690" t="s">
        <v>29</v>
      </c>
      <c r="G690" t="s">
        <v>30</v>
      </c>
      <c r="H690">
        <v>1800</v>
      </c>
      <c r="I690">
        <v>7</v>
      </c>
      <c r="J690">
        <v>15</v>
      </c>
      <c r="K690">
        <v>10</v>
      </c>
      <c r="L690">
        <v>10710</v>
      </c>
      <c r="M690">
        <v>11118.36</v>
      </c>
      <c r="N690">
        <f t="shared" si="11"/>
        <v>-408.36000000000058</v>
      </c>
      <c r="O690" t="s">
        <v>23</v>
      </c>
      <c r="P690" t="s">
        <v>24</v>
      </c>
      <c r="Q690" t="s">
        <v>25</v>
      </c>
    </row>
    <row r="691" spans="1:17" x14ac:dyDescent="0.3">
      <c r="A691" t="s">
        <v>769</v>
      </c>
      <c r="B691" s="1">
        <v>45328</v>
      </c>
      <c r="C691" t="s">
        <v>18</v>
      </c>
      <c r="D691" t="s">
        <v>35</v>
      </c>
      <c r="E691" t="s">
        <v>36</v>
      </c>
      <c r="F691" t="s">
        <v>29</v>
      </c>
      <c r="G691" t="s">
        <v>37</v>
      </c>
      <c r="H691">
        <v>1200</v>
      </c>
      <c r="I691">
        <v>9</v>
      </c>
      <c r="J691">
        <v>15</v>
      </c>
      <c r="K691">
        <v>10</v>
      </c>
      <c r="L691">
        <v>9180</v>
      </c>
      <c r="M691">
        <v>8660.39</v>
      </c>
      <c r="N691">
        <f t="shared" si="11"/>
        <v>519.61000000000058</v>
      </c>
      <c r="O691" t="s">
        <v>23</v>
      </c>
      <c r="P691" t="s">
        <v>31</v>
      </c>
      <c r="Q691" t="s">
        <v>32</v>
      </c>
    </row>
    <row r="692" spans="1:17" x14ac:dyDescent="0.3">
      <c r="A692" t="s">
        <v>770</v>
      </c>
      <c r="B692" s="1">
        <v>45317</v>
      </c>
      <c r="C692" t="s">
        <v>34</v>
      </c>
      <c r="D692" t="s">
        <v>70</v>
      </c>
      <c r="E692" t="s">
        <v>75</v>
      </c>
      <c r="F692" t="s">
        <v>76</v>
      </c>
      <c r="G692" t="s">
        <v>77</v>
      </c>
      <c r="H692">
        <v>8000</v>
      </c>
      <c r="I692">
        <v>7</v>
      </c>
      <c r="J692">
        <v>15</v>
      </c>
      <c r="K692">
        <v>25</v>
      </c>
      <c r="L692">
        <v>47600</v>
      </c>
      <c r="M692">
        <v>49091.46</v>
      </c>
      <c r="N692">
        <f t="shared" si="11"/>
        <v>-1491.4599999999991</v>
      </c>
      <c r="O692" t="s">
        <v>38</v>
      </c>
      <c r="P692" t="s">
        <v>24</v>
      </c>
      <c r="Q692" t="s">
        <v>39</v>
      </c>
    </row>
    <row r="693" spans="1:17" x14ac:dyDescent="0.3">
      <c r="A693" t="s">
        <v>771</v>
      </c>
      <c r="B693" s="1">
        <v>45409</v>
      </c>
      <c r="C693" t="s">
        <v>49</v>
      </c>
      <c r="D693" t="s">
        <v>27</v>
      </c>
      <c r="E693" t="s">
        <v>81</v>
      </c>
      <c r="F693" t="s">
        <v>21</v>
      </c>
      <c r="G693" t="s">
        <v>82</v>
      </c>
      <c r="H693">
        <v>8000</v>
      </c>
      <c r="I693">
        <v>2</v>
      </c>
      <c r="J693">
        <v>5</v>
      </c>
      <c r="K693">
        <v>15</v>
      </c>
      <c r="L693">
        <v>15200</v>
      </c>
      <c r="M693">
        <v>15336.63</v>
      </c>
      <c r="N693">
        <f t="shared" si="11"/>
        <v>-136.6299999999992</v>
      </c>
      <c r="O693" t="s">
        <v>38</v>
      </c>
      <c r="P693" t="s">
        <v>24</v>
      </c>
      <c r="Q693" t="s">
        <v>39</v>
      </c>
    </row>
    <row r="694" spans="1:17" x14ac:dyDescent="0.3">
      <c r="A694" t="s">
        <v>772</v>
      </c>
      <c r="B694" s="1">
        <v>45467</v>
      </c>
      <c r="C694" t="s">
        <v>18</v>
      </c>
      <c r="D694" t="s">
        <v>70</v>
      </c>
      <c r="E694" t="s">
        <v>151</v>
      </c>
      <c r="F694" t="s">
        <v>141</v>
      </c>
      <c r="G694" t="s">
        <v>142</v>
      </c>
      <c r="H694">
        <v>3500</v>
      </c>
      <c r="I694">
        <v>13</v>
      </c>
      <c r="J694">
        <v>5</v>
      </c>
      <c r="K694">
        <v>15</v>
      </c>
      <c r="L694">
        <v>43225</v>
      </c>
      <c r="M694">
        <v>42821.07</v>
      </c>
      <c r="N694">
        <f t="shared" si="11"/>
        <v>403.93000000000029</v>
      </c>
      <c r="O694" t="s">
        <v>38</v>
      </c>
      <c r="P694" t="s">
        <v>31</v>
      </c>
      <c r="Q694" t="s">
        <v>39</v>
      </c>
    </row>
    <row r="695" spans="1:17" x14ac:dyDescent="0.3">
      <c r="A695" t="s">
        <v>773</v>
      </c>
      <c r="B695" s="1">
        <v>45449</v>
      </c>
      <c r="C695" t="s">
        <v>18</v>
      </c>
      <c r="D695" t="s">
        <v>70</v>
      </c>
      <c r="E695" t="s">
        <v>140</v>
      </c>
      <c r="F695" t="s">
        <v>141</v>
      </c>
      <c r="G695" t="s">
        <v>142</v>
      </c>
      <c r="H695">
        <v>12000</v>
      </c>
      <c r="I695">
        <v>13</v>
      </c>
      <c r="J695">
        <v>15</v>
      </c>
      <c r="K695">
        <v>20</v>
      </c>
      <c r="L695">
        <v>132600</v>
      </c>
      <c r="M695">
        <v>133753.4</v>
      </c>
      <c r="N695">
        <f t="shared" si="11"/>
        <v>-1153.3999999999942</v>
      </c>
      <c r="O695" t="s">
        <v>38</v>
      </c>
      <c r="P695" t="s">
        <v>24</v>
      </c>
      <c r="Q695" t="s">
        <v>39</v>
      </c>
    </row>
    <row r="696" spans="1:17" x14ac:dyDescent="0.3">
      <c r="A696" t="s">
        <v>774</v>
      </c>
      <c r="B696" s="1">
        <v>45371</v>
      </c>
      <c r="C696" t="s">
        <v>49</v>
      </c>
      <c r="D696" t="s">
        <v>19</v>
      </c>
      <c r="E696" t="s">
        <v>100</v>
      </c>
      <c r="F696" t="s">
        <v>46</v>
      </c>
      <c r="G696" t="s">
        <v>55</v>
      </c>
      <c r="H696">
        <v>2500</v>
      </c>
      <c r="I696">
        <v>2</v>
      </c>
      <c r="J696">
        <v>10</v>
      </c>
      <c r="K696">
        <v>0</v>
      </c>
      <c r="L696">
        <v>4500</v>
      </c>
      <c r="M696">
        <v>4651.83</v>
      </c>
      <c r="N696">
        <f t="shared" si="11"/>
        <v>-151.82999999999993</v>
      </c>
      <c r="O696" t="s">
        <v>23</v>
      </c>
      <c r="P696" t="s">
        <v>24</v>
      </c>
      <c r="Q696" t="s">
        <v>25</v>
      </c>
    </row>
    <row r="697" spans="1:17" x14ac:dyDescent="0.3">
      <c r="A697" t="s">
        <v>775</v>
      </c>
      <c r="B697" s="1">
        <v>45332</v>
      </c>
      <c r="C697" t="s">
        <v>49</v>
      </c>
      <c r="D697" t="s">
        <v>35</v>
      </c>
      <c r="E697" t="s">
        <v>102</v>
      </c>
      <c r="F697" t="s">
        <v>29</v>
      </c>
      <c r="G697" t="s">
        <v>43</v>
      </c>
      <c r="H697">
        <v>1500</v>
      </c>
      <c r="I697">
        <v>8</v>
      </c>
      <c r="J697">
        <v>10</v>
      </c>
      <c r="K697">
        <v>5</v>
      </c>
      <c r="L697">
        <v>10800</v>
      </c>
      <c r="M697">
        <v>9718.58</v>
      </c>
      <c r="N697">
        <f t="shared" si="11"/>
        <v>1081.42</v>
      </c>
      <c r="O697" t="s">
        <v>23</v>
      </c>
      <c r="P697" t="s">
        <v>31</v>
      </c>
      <c r="Q697" t="s">
        <v>32</v>
      </c>
    </row>
    <row r="698" spans="1:17" x14ac:dyDescent="0.3">
      <c r="A698" t="s">
        <v>776</v>
      </c>
      <c r="B698" s="1">
        <v>45366</v>
      </c>
      <c r="C698" t="s">
        <v>49</v>
      </c>
      <c r="D698" t="s">
        <v>70</v>
      </c>
      <c r="E698" t="s">
        <v>50</v>
      </c>
      <c r="F698" t="s">
        <v>21</v>
      </c>
      <c r="G698" t="s">
        <v>51</v>
      </c>
      <c r="H698">
        <v>4500</v>
      </c>
      <c r="I698">
        <v>7</v>
      </c>
      <c r="J698">
        <v>5</v>
      </c>
      <c r="K698">
        <v>25</v>
      </c>
      <c r="L698">
        <v>29925</v>
      </c>
      <c r="M698">
        <v>30393.81</v>
      </c>
      <c r="N698">
        <f t="shared" si="11"/>
        <v>-468.81000000000131</v>
      </c>
      <c r="O698" t="s">
        <v>38</v>
      </c>
      <c r="P698" t="s">
        <v>24</v>
      </c>
      <c r="Q698" t="s">
        <v>39</v>
      </c>
    </row>
    <row r="699" spans="1:17" x14ac:dyDescent="0.3">
      <c r="A699" t="s">
        <v>777</v>
      </c>
      <c r="B699" s="1">
        <v>45367</v>
      </c>
      <c r="C699" t="s">
        <v>34</v>
      </c>
      <c r="D699" t="s">
        <v>70</v>
      </c>
      <c r="E699" t="s">
        <v>167</v>
      </c>
      <c r="F699" t="s">
        <v>21</v>
      </c>
      <c r="G699" t="s">
        <v>82</v>
      </c>
      <c r="H699">
        <v>7000</v>
      </c>
      <c r="I699">
        <v>15</v>
      </c>
      <c r="J699">
        <v>10</v>
      </c>
      <c r="K699">
        <v>25</v>
      </c>
      <c r="L699">
        <v>94500</v>
      </c>
      <c r="M699">
        <v>86960.48</v>
      </c>
      <c r="N699">
        <f t="shared" si="11"/>
        <v>7539.5200000000041</v>
      </c>
      <c r="O699" t="s">
        <v>38</v>
      </c>
      <c r="P699" t="s">
        <v>31</v>
      </c>
      <c r="Q699" t="s">
        <v>39</v>
      </c>
    </row>
    <row r="700" spans="1:17" x14ac:dyDescent="0.3">
      <c r="A700" t="s">
        <v>778</v>
      </c>
      <c r="B700" s="1">
        <v>45471</v>
      </c>
      <c r="C700" t="s">
        <v>49</v>
      </c>
      <c r="D700" t="s">
        <v>35</v>
      </c>
      <c r="E700" t="s">
        <v>63</v>
      </c>
      <c r="F700" t="s">
        <v>64</v>
      </c>
      <c r="G700" t="s">
        <v>65</v>
      </c>
      <c r="H700">
        <v>4000</v>
      </c>
      <c r="I700">
        <v>3</v>
      </c>
      <c r="J700">
        <v>15</v>
      </c>
      <c r="K700">
        <v>15</v>
      </c>
      <c r="L700">
        <v>10200</v>
      </c>
      <c r="M700">
        <v>10046.36</v>
      </c>
      <c r="N700">
        <f t="shared" si="11"/>
        <v>153.63999999999942</v>
      </c>
      <c r="O700" t="s">
        <v>23</v>
      </c>
      <c r="P700" t="s">
        <v>31</v>
      </c>
      <c r="Q700" t="s">
        <v>32</v>
      </c>
    </row>
    <row r="701" spans="1:17" x14ac:dyDescent="0.3">
      <c r="A701" t="s">
        <v>779</v>
      </c>
      <c r="B701" s="1">
        <v>45374</v>
      </c>
      <c r="C701" t="s">
        <v>49</v>
      </c>
      <c r="D701" t="s">
        <v>92</v>
      </c>
      <c r="E701" t="s">
        <v>28</v>
      </c>
      <c r="F701" t="s">
        <v>29</v>
      </c>
      <c r="G701" t="s">
        <v>30</v>
      </c>
      <c r="H701">
        <v>1800</v>
      </c>
      <c r="I701">
        <v>10</v>
      </c>
      <c r="J701">
        <v>5</v>
      </c>
      <c r="K701">
        <v>10</v>
      </c>
      <c r="L701">
        <v>17100</v>
      </c>
      <c r="M701">
        <v>14661.53</v>
      </c>
      <c r="N701">
        <f t="shared" si="11"/>
        <v>2438.4699999999993</v>
      </c>
      <c r="O701" t="s">
        <v>38</v>
      </c>
      <c r="P701" t="s">
        <v>31</v>
      </c>
      <c r="Q701" t="s">
        <v>39</v>
      </c>
    </row>
    <row r="702" spans="1:17" x14ac:dyDescent="0.3">
      <c r="A702" t="s">
        <v>780</v>
      </c>
      <c r="B702" s="1">
        <v>45304</v>
      </c>
      <c r="C702" t="s">
        <v>49</v>
      </c>
      <c r="D702" t="s">
        <v>92</v>
      </c>
      <c r="E702" t="s">
        <v>104</v>
      </c>
      <c r="F702" t="s">
        <v>29</v>
      </c>
      <c r="G702" t="s">
        <v>30</v>
      </c>
      <c r="H702">
        <v>1200</v>
      </c>
      <c r="I702">
        <v>2</v>
      </c>
      <c r="J702">
        <v>15</v>
      </c>
      <c r="K702">
        <v>20</v>
      </c>
      <c r="L702">
        <v>2040</v>
      </c>
      <c r="M702">
        <v>2047.27</v>
      </c>
      <c r="N702">
        <f t="shared" si="11"/>
        <v>-7.2699999999999818</v>
      </c>
      <c r="O702" t="s">
        <v>38</v>
      </c>
      <c r="P702" t="s">
        <v>24</v>
      </c>
      <c r="Q702" t="s">
        <v>39</v>
      </c>
    </row>
    <row r="703" spans="1:17" x14ac:dyDescent="0.3">
      <c r="A703" t="s">
        <v>781</v>
      </c>
      <c r="B703" s="1">
        <v>45344</v>
      </c>
      <c r="C703" t="s">
        <v>49</v>
      </c>
      <c r="D703" t="s">
        <v>27</v>
      </c>
      <c r="E703" t="s">
        <v>155</v>
      </c>
      <c r="F703" t="s">
        <v>21</v>
      </c>
      <c r="G703" t="s">
        <v>72</v>
      </c>
      <c r="H703">
        <v>35000</v>
      </c>
      <c r="I703">
        <v>7</v>
      </c>
      <c r="J703">
        <v>10</v>
      </c>
      <c r="K703">
        <v>25</v>
      </c>
      <c r="L703">
        <v>220500</v>
      </c>
      <c r="M703">
        <v>192062.76</v>
      </c>
      <c r="N703">
        <f t="shared" si="11"/>
        <v>28437.239999999991</v>
      </c>
      <c r="O703" t="s">
        <v>38</v>
      </c>
      <c r="P703" t="s">
        <v>31</v>
      </c>
      <c r="Q703" t="s">
        <v>39</v>
      </c>
    </row>
    <row r="704" spans="1:17" x14ac:dyDescent="0.3">
      <c r="A704" t="s">
        <v>782</v>
      </c>
      <c r="B704" s="1">
        <v>45449</v>
      </c>
      <c r="C704" t="s">
        <v>53</v>
      </c>
      <c r="D704" t="s">
        <v>70</v>
      </c>
      <c r="E704" t="s">
        <v>67</v>
      </c>
      <c r="F704" t="s">
        <v>29</v>
      </c>
      <c r="G704" t="s">
        <v>68</v>
      </c>
      <c r="H704">
        <v>1200</v>
      </c>
      <c r="I704">
        <v>13</v>
      </c>
      <c r="J704">
        <v>15</v>
      </c>
      <c r="K704">
        <v>5</v>
      </c>
      <c r="L704">
        <v>13260</v>
      </c>
      <c r="M704">
        <v>12329.83</v>
      </c>
      <c r="N704">
        <f t="shared" si="11"/>
        <v>930.17000000000007</v>
      </c>
      <c r="O704" t="s">
        <v>23</v>
      </c>
      <c r="P704" t="s">
        <v>31</v>
      </c>
      <c r="Q704" t="s">
        <v>32</v>
      </c>
    </row>
    <row r="705" spans="1:17" x14ac:dyDescent="0.3">
      <c r="A705" t="s">
        <v>783</v>
      </c>
      <c r="B705" s="1">
        <v>45366</v>
      </c>
      <c r="C705" t="s">
        <v>34</v>
      </c>
      <c r="D705" t="s">
        <v>41</v>
      </c>
      <c r="E705" t="s">
        <v>104</v>
      </c>
      <c r="F705" t="s">
        <v>29</v>
      </c>
      <c r="G705" t="s">
        <v>30</v>
      </c>
      <c r="H705">
        <v>1200</v>
      </c>
      <c r="I705">
        <v>15</v>
      </c>
      <c r="J705">
        <v>10</v>
      </c>
      <c r="K705">
        <v>25</v>
      </c>
      <c r="L705">
        <v>16200</v>
      </c>
      <c r="M705">
        <v>16116.84</v>
      </c>
      <c r="N705">
        <f t="shared" si="11"/>
        <v>83.159999999999854</v>
      </c>
      <c r="O705" t="s">
        <v>38</v>
      </c>
      <c r="P705" t="s">
        <v>31</v>
      </c>
      <c r="Q705" t="s">
        <v>39</v>
      </c>
    </row>
    <row r="706" spans="1:17" x14ac:dyDescent="0.3">
      <c r="A706" t="s">
        <v>784</v>
      </c>
      <c r="B706" s="1">
        <v>45448</v>
      </c>
      <c r="C706" t="s">
        <v>53</v>
      </c>
      <c r="D706" t="s">
        <v>70</v>
      </c>
      <c r="E706" t="s">
        <v>155</v>
      </c>
      <c r="F706" t="s">
        <v>21</v>
      </c>
      <c r="G706" t="s">
        <v>72</v>
      </c>
      <c r="H706">
        <v>35000</v>
      </c>
      <c r="I706">
        <v>10</v>
      </c>
      <c r="J706">
        <v>5</v>
      </c>
      <c r="K706">
        <v>5</v>
      </c>
      <c r="L706">
        <v>332500</v>
      </c>
      <c r="M706">
        <v>284768.31</v>
      </c>
      <c r="N706">
        <f t="shared" si="11"/>
        <v>47731.69</v>
      </c>
      <c r="O706" t="s">
        <v>23</v>
      </c>
      <c r="P706" t="s">
        <v>31</v>
      </c>
      <c r="Q706" t="s">
        <v>32</v>
      </c>
    </row>
    <row r="707" spans="1:17" x14ac:dyDescent="0.3">
      <c r="A707" t="s">
        <v>785</v>
      </c>
      <c r="B707" s="1">
        <v>45405</v>
      </c>
      <c r="C707" t="s">
        <v>53</v>
      </c>
      <c r="D707" t="s">
        <v>70</v>
      </c>
      <c r="E707" t="s">
        <v>20</v>
      </c>
      <c r="F707" t="s">
        <v>21</v>
      </c>
      <c r="G707" t="s">
        <v>22</v>
      </c>
      <c r="H707">
        <v>6000</v>
      </c>
      <c r="I707">
        <v>14</v>
      </c>
      <c r="J707">
        <v>15</v>
      </c>
      <c r="K707">
        <v>10</v>
      </c>
      <c r="L707">
        <v>71400</v>
      </c>
      <c r="M707">
        <v>61541.25</v>
      </c>
      <c r="N707">
        <f t="shared" ref="N707:N770" si="12">L707-M707</f>
        <v>9858.75</v>
      </c>
      <c r="O707" t="s">
        <v>23</v>
      </c>
      <c r="P707" t="s">
        <v>31</v>
      </c>
      <c r="Q707" t="s">
        <v>32</v>
      </c>
    </row>
    <row r="708" spans="1:17" x14ac:dyDescent="0.3">
      <c r="A708" t="s">
        <v>786</v>
      </c>
      <c r="B708" s="1">
        <v>45403</v>
      </c>
      <c r="C708" t="s">
        <v>18</v>
      </c>
      <c r="D708" t="s">
        <v>27</v>
      </c>
      <c r="E708" t="s">
        <v>81</v>
      </c>
      <c r="F708" t="s">
        <v>21</v>
      </c>
      <c r="G708" t="s">
        <v>82</v>
      </c>
      <c r="H708">
        <v>8000</v>
      </c>
      <c r="I708">
        <v>2</v>
      </c>
      <c r="J708">
        <v>5</v>
      </c>
      <c r="K708">
        <v>0</v>
      </c>
      <c r="L708">
        <v>15200</v>
      </c>
      <c r="M708">
        <v>13413.05</v>
      </c>
      <c r="N708">
        <f t="shared" si="12"/>
        <v>1786.9500000000007</v>
      </c>
      <c r="O708" t="s">
        <v>23</v>
      </c>
      <c r="P708" t="s">
        <v>31</v>
      </c>
      <c r="Q708" t="s">
        <v>32</v>
      </c>
    </row>
    <row r="709" spans="1:17" x14ac:dyDescent="0.3">
      <c r="A709" t="s">
        <v>787</v>
      </c>
      <c r="B709" s="1">
        <v>45331</v>
      </c>
      <c r="C709" t="s">
        <v>49</v>
      </c>
      <c r="D709" t="s">
        <v>41</v>
      </c>
      <c r="E709" t="s">
        <v>129</v>
      </c>
      <c r="F709" t="s">
        <v>21</v>
      </c>
      <c r="G709" t="s">
        <v>82</v>
      </c>
      <c r="H709">
        <v>3500</v>
      </c>
      <c r="I709">
        <v>1</v>
      </c>
      <c r="J709">
        <v>5</v>
      </c>
      <c r="K709">
        <v>10</v>
      </c>
      <c r="L709">
        <v>3325</v>
      </c>
      <c r="M709">
        <v>3252.02</v>
      </c>
      <c r="N709">
        <f t="shared" si="12"/>
        <v>72.980000000000018</v>
      </c>
      <c r="O709" t="s">
        <v>38</v>
      </c>
      <c r="P709" t="s">
        <v>31</v>
      </c>
      <c r="Q709" t="s">
        <v>39</v>
      </c>
    </row>
    <row r="710" spans="1:17" x14ac:dyDescent="0.3">
      <c r="A710" t="s">
        <v>788</v>
      </c>
      <c r="B710" s="1">
        <v>45366</v>
      </c>
      <c r="C710" t="s">
        <v>53</v>
      </c>
      <c r="D710" t="s">
        <v>70</v>
      </c>
      <c r="E710" t="s">
        <v>20</v>
      </c>
      <c r="F710" t="s">
        <v>21</v>
      </c>
      <c r="G710" t="s">
        <v>22</v>
      </c>
      <c r="H710">
        <v>6000</v>
      </c>
      <c r="I710">
        <v>10</v>
      </c>
      <c r="J710">
        <v>5</v>
      </c>
      <c r="K710">
        <v>0</v>
      </c>
      <c r="L710">
        <v>57000</v>
      </c>
      <c r="M710">
        <v>58435.72</v>
      </c>
      <c r="N710">
        <f t="shared" si="12"/>
        <v>-1435.7200000000012</v>
      </c>
      <c r="O710" t="s">
        <v>23</v>
      </c>
      <c r="P710" t="s">
        <v>24</v>
      </c>
      <c r="Q710" t="s">
        <v>25</v>
      </c>
    </row>
    <row r="711" spans="1:17" x14ac:dyDescent="0.3">
      <c r="A711" t="s">
        <v>789</v>
      </c>
      <c r="B711" s="1">
        <v>45322</v>
      </c>
      <c r="C711" t="s">
        <v>34</v>
      </c>
      <c r="D711" t="s">
        <v>70</v>
      </c>
      <c r="E711" t="s">
        <v>63</v>
      </c>
      <c r="F711" t="s">
        <v>64</v>
      </c>
      <c r="G711" t="s">
        <v>65</v>
      </c>
      <c r="H711">
        <v>4000</v>
      </c>
      <c r="I711">
        <v>2</v>
      </c>
      <c r="J711">
        <v>15</v>
      </c>
      <c r="K711">
        <v>20</v>
      </c>
      <c r="L711">
        <v>6800</v>
      </c>
      <c r="M711">
        <v>6770.51</v>
      </c>
      <c r="N711">
        <f t="shared" si="12"/>
        <v>29.489999999999782</v>
      </c>
      <c r="O711" t="s">
        <v>38</v>
      </c>
      <c r="P711" t="s">
        <v>31</v>
      </c>
      <c r="Q711" t="s">
        <v>39</v>
      </c>
    </row>
    <row r="712" spans="1:17" x14ac:dyDescent="0.3">
      <c r="A712" t="s">
        <v>790</v>
      </c>
      <c r="B712" s="1">
        <v>45377</v>
      </c>
      <c r="C712" t="s">
        <v>34</v>
      </c>
      <c r="D712" t="s">
        <v>41</v>
      </c>
      <c r="E712" t="s">
        <v>50</v>
      </c>
      <c r="F712" t="s">
        <v>21</v>
      </c>
      <c r="G712" t="s">
        <v>51</v>
      </c>
      <c r="H712">
        <v>4500</v>
      </c>
      <c r="I712">
        <v>9</v>
      </c>
      <c r="J712">
        <v>5</v>
      </c>
      <c r="K712">
        <v>20</v>
      </c>
      <c r="L712">
        <v>38475</v>
      </c>
      <c r="M712">
        <v>37457.33</v>
      </c>
      <c r="N712">
        <f t="shared" si="12"/>
        <v>1017.6699999999983</v>
      </c>
      <c r="O712" t="s">
        <v>38</v>
      </c>
      <c r="P712" t="s">
        <v>31</v>
      </c>
      <c r="Q712" t="s">
        <v>39</v>
      </c>
    </row>
    <row r="713" spans="1:17" x14ac:dyDescent="0.3">
      <c r="A713" t="s">
        <v>791</v>
      </c>
      <c r="B713" s="1">
        <v>45339</v>
      </c>
      <c r="C713" t="s">
        <v>53</v>
      </c>
      <c r="D713" t="s">
        <v>41</v>
      </c>
      <c r="E713" t="s">
        <v>71</v>
      </c>
      <c r="F713" t="s">
        <v>21</v>
      </c>
      <c r="G713" t="s">
        <v>72</v>
      </c>
      <c r="H713">
        <v>60000</v>
      </c>
      <c r="I713">
        <v>13</v>
      </c>
      <c r="J713">
        <v>10</v>
      </c>
      <c r="K713">
        <v>0</v>
      </c>
      <c r="L713">
        <v>702000</v>
      </c>
      <c r="M713">
        <v>632574.68000000005</v>
      </c>
      <c r="N713">
        <f t="shared" si="12"/>
        <v>69425.319999999949</v>
      </c>
      <c r="O713" t="s">
        <v>23</v>
      </c>
      <c r="P713" t="s">
        <v>31</v>
      </c>
      <c r="Q713" t="s">
        <v>32</v>
      </c>
    </row>
    <row r="714" spans="1:17" x14ac:dyDescent="0.3">
      <c r="A714" t="s">
        <v>792</v>
      </c>
      <c r="B714" s="1">
        <v>45409</v>
      </c>
      <c r="C714" t="s">
        <v>53</v>
      </c>
      <c r="D714" t="s">
        <v>35</v>
      </c>
      <c r="E714" t="s">
        <v>57</v>
      </c>
      <c r="F714" t="s">
        <v>46</v>
      </c>
      <c r="G714" t="s">
        <v>58</v>
      </c>
      <c r="H714">
        <v>18000</v>
      </c>
      <c r="I714">
        <v>10</v>
      </c>
      <c r="J714">
        <v>10</v>
      </c>
      <c r="K714">
        <v>25</v>
      </c>
      <c r="L714">
        <v>162000</v>
      </c>
      <c r="M714">
        <v>162003.74</v>
      </c>
      <c r="N714">
        <f t="shared" si="12"/>
        <v>-3.7399999999906868</v>
      </c>
      <c r="O714" t="s">
        <v>38</v>
      </c>
      <c r="P714" t="s">
        <v>24</v>
      </c>
      <c r="Q714" t="s">
        <v>39</v>
      </c>
    </row>
    <row r="715" spans="1:17" x14ac:dyDescent="0.3">
      <c r="A715" t="s">
        <v>793</v>
      </c>
      <c r="B715" s="1">
        <v>45456</v>
      </c>
      <c r="C715" t="s">
        <v>49</v>
      </c>
      <c r="D715" t="s">
        <v>70</v>
      </c>
      <c r="E715" t="s">
        <v>75</v>
      </c>
      <c r="F715" t="s">
        <v>76</v>
      </c>
      <c r="G715" t="s">
        <v>77</v>
      </c>
      <c r="H715">
        <v>8000</v>
      </c>
      <c r="I715">
        <v>15</v>
      </c>
      <c r="J715">
        <v>5</v>
      </c>
      <c r="K715">
        <v>15</v>
      </c>
      <c r="L715">
        <v>114000</v>
      </c>
      <c r="M715">
        <v>104894.36</v>
      </c>
      <c r="N715">
        <f t="shared" si="12"/>
        <v>9105.64</v>
      </c>
      <c r="O715" t="s">
        <v>38</v>
      </c>
      <c r="P715" t="s">
        <v>31</v>
      </c>
      <c r="Q715" t="s">
        <v>39</v>
      </c>
    </row>
    <row r="716" spans="1:17" x14ac:dyDescent="0.3">
      <c r="A716" t="s">
        <v>794</v>
      </c>
      <c r="B716" s="1">
        <v>45347</v>
      </c>
      <c r="C716" t="s">
        <v>53</v>
      </c>
      <c r="D716" t="s">
        <v>35</v>
      </c>
      <c r="E716" t="s">
        <v>20</v>
      </c>
      <c r="F716" t="s">
        <v>21</v>
      </c>
      <c r="G716" t="s">
        <v>22</v>
      </c>
      <c r="H716">
        <v>6000</v>
      </c>
      <c r="I716">
        <v>6</v>
      </c>
      <c r="J716">
        <v>5</v>
      </c>
      <c r="K716">
        <v>0</v>
      </c>
      <c r="L716">
        <v>34200</v>
      </c>
      <c r="M716">
        <v>29349.29</v>
      </c>
      <c r="N716">
        <f t="shared" si="12"/>
        <v>4850.7099999999991</v>
      </c>
      <c r="O716" t="s">
        <v>23</v>
      </c>
      <c r="P716" t="s">
        <v>31</v>
      </c>
      <c r="Q716" t="s">
        <v>32</v>
      </c>
    </row>
    <row r="717" spans="1:17" x14ac:dyDescent="0.3">
      <c r="A717" t="s">
        <v>795</v>
      </c>
      <c r="B717" s="1">
        <v>45463</v>
      </c>
      <c r="C717" t="s">
        <v>49</v>
      </c>
      <c r="D717" t="s">
        <v>41</v>
      </c>
      <c r="E717" t="s">
        <v>61</v>
      </c>
      <c r="F717" t="s">
        <v>29</v>
      </c>
      <c r="G717" t="s">
        <v>43</v>
      </c>
      <c r="H717">
        <v>2800</v>
      </c>
      <c r="I717">
        <v>6</v>
      </c>
      <c r="J717">
        <v>10</v>
      </c>
      <c r="K717">
        <v>15</v>
      </c>
      <c r="L717">
        <v>15120</v>
      </c>
      <c r="M717">
        <v>13996.2</v>
      </c>
      <c r="N717">
        <f t="shared" si="12"/>
        <v>1123.7999999999993</v>
      </c>
      <c r="O717" t="s">
        <v>38</v>
      </c>
      <c r="P717" t="s">
        <v>31</v>
      </c>
      <c r="Q717" t="s">
        <v>39</v>
      </c>
    </row>
    <row r="718" spans="1:17" x14ac:dyDescent="0.3">
      <c r="A718" t="s">
        <v>796</v>
      </c>
      <c r="B718" s="1">
        <v>45386</v>
      </c>
      <c r="C718" t="s">
        <v>53</v>
      </c>
      <c r="D718" t="s">
        <v>41</v>
      </c>
      <c r="E718" t="s">
        <v>140</v>
      </c>
      <c r="F718" t="s">
        <v>141</v>
      </c>
      <c r="G718" t="s">
        <v>142</v>
      </c>
      <c r="H718">
        <v>12000</v>
      </c>
      <c r="I718">
        <v>4</v>
      </c>
      <c r="J718">
        <v>15</v>
      </c>
      <c r="K718">
        <v>20</v>
      </c>
      <c r="L718">
        <v>40800</v>
      </c>
      <c r="M718">
        <v>36387.550000000003</v>
      </c>
      <c r="N718">
        <f t="shared" si="12"/>
        <v>4412.4499999999971</v>
      </c>
      <c r="O718" t="s">
        <v>38</v>
      </c>
      <c r="P718" t="s">
        <v>31</v>
      </c>
      <c r="Q718" t="s">
        <v>39</v>
      </c>
    </row>
    <row r="719" spans="1:17" x14ac:dyDescent="0.3">
      <c r="A719" t="s">
        <v>797</v>
      </c>
      <c r="B719" s="1">
        <v>45416</v>
      </c>
      <c r="C719" t="s">
        <v>53</v>
      </c>
      <c r="D719" t="s">
        <v>27</v>
      </c>
      <c r="E719" t="s">
        <v>129</v>
      </c>
      <c r="F719" t="s">
        <v>21</v>
      </c>
      <c r="G719" t="s">
        <v>82</v>
      </c>
      <c r="H719">
        <v>3500</v>
      </c>
      <c r="I719">
        <v>11</v>
      </c>
      <c r="J719">
        <v>5</v>
      </c>
      <c r="K719">
        <v>10</v>
      </c>
      <c r="L719">
        <v>36575</v>
      </c>
      <c r="M719">
        <v>33053.730000000003</v>
      </c>
      <c r="N719">
        <f t="shared" si="12"/>
        <v>3521.2699999999968</v>
      </c>
      <c r="O719" t="s">
        <v>38</v>
      </c>
      <c r="P719" t="s">
        <v>31</v>
      </c>
      <c r="Q719" t="s">
        <v>39</v>
      </c>
    </row>
    <row r="720" spans="1:17" x14ac:dyDescent="0.3">
      <c r="A720" t="s">
        <v>798</v>
      </c>
      <c r="B720" s="1">
        <v>45329</v>
      </c>
      <c r="C720" t="s">
        <v>34</v>
      </c>
      <c r="D720" t="s">
        <v>41</v>
      </c>
      <c r="E720" t="s">
        <v>75</v>
      </c>
      <c r="F720" t="s">
        <v>76</v>
      </c>
      <c r="G720" t="s">
        <v>77</v>
      </c>
      <c r="H720">
        <v>8000</v>
      </c>
      <c r="I720">
        <v>14</v>
      </c>
      <c r="J720">
        <v>10</v>
      </c>
      <c r="K720">
        <v>10</v>
      </c>
      <c r="L720">
        <v>100800</v>
      </c>
      <c r="M720">
        <v>104253.34</v>
      </c>
      <c r="N720">
        <f t="shared" si="12"/>
        <v>-3453.3399999999965</v>
      </c>
      <c r="O720" t="s">
        <v>23</v>
      </c>
      <c r="P720" t="s">
        <v>24</v>
      </c>
      <c r="Q720" t="s">
        <v>25</v>
      </c>
    </row>
    <row r="721" spans="1:17" x14ac:dyDescent="0.3">
      <c r="A721" t="s">
        <v>799</v>
      </c>
      <c r="B721" s="1">
        <v>45329</v>
      </c>
      <c r="C721" t="s">
        <v>18</v>
      </c>
      <c r="D721" t="s">
        <v>35</v>
      </c>
      <c r="E721" t="s">
        <v>45</v>
      </c>
      <c r="F721" t="s">
        <v>46</v>
      </c>
      <c r="G721" t="s">
        <v>47</v>
      </c>
      <c r="H721">
        <v>15000</v>
      </c>
      <c r="I721">
        <v>2</v>
      </c>
      <c r="J721">
        <v>10</v>
      </c>
      <c r="K721">
        <v>10</v>
      </c>
      <c r="L721">
        <v>27000</v>
      </c>
      <c r="M721">
        <v>27826.880000000001</v>
      </c>
      <c r="N721">
        <f t="shared" si="12"/>
        <v>-826.88000000000102</v>
      </c>
      <c r="O721" t="s">
        <v>23</v>
      </c>
      <c r="P721" t="s">
        <v>24</v>
      </c>
      <c r="Q721" t="s">
        <v>25</v>
      </c>
    </row>
    <row r="722" spans="1:17" x14ac:dyDescent="0.3">
      <c r="A722" t="s">
        <v>800</v>
      </c>
      <c r="B722" s="1">
        <v>45303</v>
      </c>
      <c r="C722" t="s">
        <v>53</v>
      </c>
      <c r="D722" t="s">
        <v>35</v>
      </c>
      <c r="E722" t="s">
        <v>107</v>
      </c>
      <c r="F722" t="s">
        <v>108</v>
      </c>
      <c r="G722" t="s">
        <v>109</v>
      </c>
      <c r="H722">
        <v>18000</v>
      </c>
      <c r="I722">
        <v>14</v>
      </c>
      <c r="J722">
        <v>5</v>
      </c>
      <c r="K722">
        <v>10</v>
      </c>
      <c r="L722">
        <v>239400</v>
      </c>
      <c r="M722">
        <v>240038.76</v>
      </c>
      <c r="N722">
        <f t="shared" si="12"/>
        <v>-638.76000000000931</v>
      </c>
      <c r="O722" t="s">
        <v>38</v>
      </c>
      <c r="P722" t="s">
        <v>24</v>
      </c>
      <c r="Q722" t="s">
        <v>39</v>
      </c>
    </row>
    <row r="723" spans="1:17" x14ac:dyDescent="0.3">
      <c r="A723" t="s">
        <v>801</v>
      </c>
      <c r="B723" s="1">
        <v>45337</v>
      </c>
      <c r="C723" t="s">
        <v>34</v>
      </c>
      <c r="D723" t="s">
        <v>27</v>
      </c>
      <c r="E723" t="s">
        <v>20</v>
      </c>
      <c r="F723" t="s">
        <v>21</v>
      </c>
      <c r="G723" t="s">
        <v>22</v>
      </c>
      <c r="H723">
        <v>6000</v>
      </c>
      <c r="I723">
        <v>15</v>
      </c>
      <c r="J723">
        <v>5</v>
      </c>
      <c r="K723">
        <v>20</v>
      </c>
      <c r="L723">
        <v>85500</v>
      </c>
      <c r="M723">
        <v>80451.039999999994</v>
      </c>
      <c r="N723">
        <f t="shared" si="12"/>
        <v>5048.9600000000064</v>
      </c>
      <c r="O723" t="s">
        <v>38</v>
      </c>
      <c r="P723" t="s">
        <v>31</v>
      </c>
      <c r="Q723" t="s">
        <v>39</v>
      </c>
    </row>
    <row r="724" spans="1:17" x14ac:dyDescent="0.3">
      <c r="A724" t="s">
        <v>802</v>
      </c>
      <c r="B724" s="1">
        <v>45336</v>
      </c>
      <c r="C724" t="s">
        <v>53</v>
      </c>
      <c r="D724" t="s">
        <v>35</v>
      </c>
      <c r="E724" t="s">
        <v>63</v>
      </c>
      <c r="F724" t="s">
        <v>64</v>
      </c>
      <c r="G724" t="s">
        <v>65</v>
      </c>
      <c r="H724">
        <v>4000</v>
      </c>
      <c r="I724">
        <v>2</v>
      </c>
      <c r="J724">
        <v>10</v>
      </c>
      <c r="K724">
        <v>0</v>
      </c>
      <c r="L724">
        <v>7200</v>
      </c>
      <c r="M724">
        <v>7353.19</v>
      </c>
      <c r="N724">
        <f t="shared" si="12"/>
        <v>-153.1899999999996</v>
      </c>
      <c r="O724" t="s">
        <v>23</v>
      </c>
      <c r="P724" t="s">
        <v>24</v>
      </c>
      <c r="Q724" t="s">
        <v>25</v>
      </c>
    </row>
    <row r="725" spans="1:17" x14ac:dyDescent="0.3">
      <c r="A725" t="s">
        <v>803</v>
      </c>
      <c r="B725" s="1">
        <v>45312</v>
      </c>
      <c r="C725" t="s">
        <v>53</v>
      </c>
      <c r="D725" t="s">
        <v>35</v>
      </c>
      <c r="E725" t="s">
        <v>54</v>
      </c>
      <c r="F725" t="s">
        <v>46</v>
      </c>
      <c r="G725" t="s">
        <v>55</v>
      </c>
      <c r="H725">
        <v>4500</v>
      </c>
      <c r="I725">
        <v>4</v>
      </c>
      <c r="J725">
        <v>5</v>
      </c>
      <c r="K725">
        <v>15</v>
      </c>
      <c r="L725">
        <v>17100</v>
      </c>
      <c r="M725">
        <v>16807.71</v>
      </c>
      <c r="N725">
        <f t="shared" si="12"/>
        <v>292.29000000000087</v>
      </c>
      <c r="O725" t="s">
        <v>38</v>
      </c>
      <c r="P725" t="s">
        <v>31</v>
      </c>
      <c r="Q725" t="s">
        <v>39</v>
      </c>
    </row>
    <row r="726" spans="1:17" x14ac:dyDescent="0.3">
      <c r="A726" t="s">
        <v>804</v>
      </c>
      <c r="B726" s="1">
        <v>45381</v>
      </c>
      <c r="C726" t="s">
        <v>53</v>
      </c>
      <c r="D726" t="s">
        <v>70</v>
      </c>
      <c r="E726" t="s">
        <v>54</v>
      </c>
      <c r="F726" t="s">
        <v>46</v>
      </c>
      <c r="G726" t="s">
        <v>55</v>
      </c>
      <c r="H726">
        <v>4500</v>
      </c>
      <c r="I726">
        <v>5</v>
      </c>
      <c r="J726">
        <v>10</v>
      </c>
      <c r="K726">
        <v>5</v>
      </c>
      <c r="L726">
        <v>20250</v>
      </c>
      <c r="M726">
        <v>18557.099999999999</v>
      </c>
      <c r="N726">
        <f t="shared" si="12"/>
        <v>1692.9000000000015</v>
      </c>
      <c r="O726" t="s">
        <v>23</v>
      </c>
      <c r="P726" t="s">
        <v>31</v>
      </c>
      <c r="Q726" t="s">
        <v>32</v>
      </c>
    </row>
    <row r="727" spans="1:17" x14ac:dyDescent="0.3">
      <c r="A727" t="s">
        <v>805</v>
      </c>
      <c r="B727" s="1">
        <v>45376</v>
      </c>
      <c r="C727" t="s">
        <v>34</v>
      </c>
      <c r="D727" t="s">
        <v>70</v>
      </c>
      <c r="E727" t="s">
        <v>45</v>
      </c>
      <c r="F727" t="s">
        <v>46</v>
      </c>
      <c r="G727" t="s">
        <v>47</v>
      </c>
      <c r="H727">
        <v>15000</v>
      </c>
      <c r="I727">
        <v>4</v>
      </c>
      <c r="J727">
        <v>15</v>
      </c>
      <c r="K727">
        <v>25</v>
      </c>
      <c r="L727">
        <v>51000</v>
      </c>
      <c r="M727">
        <v>43860.61</v>
      </c>
      <c r="N727">
        <f t="shared" si="12"/>
        <v>7139.3899999999994</v>
      </c>
      <c r="O727" t="s">
        <v>38</v>
      </c>
      <c r="P727" t="s">
        <v>31</v>
      </c>
      <c r="Q727" t="s">
        <v>39</v>
      </c>
    </row>
    <row r="728" spans="1:17" x14ac:dyDescent="0.3">
      <c r="A728" t="s">
        <v>806</v>
      </c>
      <c r="B728" s="1">
        <v>45430</v>
      </c>
      <c r="C728" t="s">
        <v>18</v>
      </c>
      <c r="D728" t="s">
        <v>35</v>
      </c>
      <c r="E728" t="s">
        <v>45</v>
      </c>
      <c r="F728" t="s">
        <v>46</v>
      </c>
      <c r="G728" t="s">
        <v>47</v>
      </c>
      <c r="H728">
        <v>15000</v>
      </c>
      <c r="I728">
        <v>11</v>
      </c>
      <c r="J728">
        <v>15</v>
      </c>
      <c r="K728">
        <v>5</v>
      </c>
      <c r="L728">
        <v>140250</v>
      </c>
      <c r="M728">
        <v>133681.26</v>
      </c>
      <c r="N728">
        <f t="shared" si="12"/>
        <v>6568.7399999999907</v>
      </c>
      <c r="O728" t="s">
        <v>23</v>
      </c>
      <c r="P728" t="s">
        <v>31</v>
      </c>
      <c r="Q728" t="s">
        <v>32</v>
      </c>
    </row>
    <row r="729" spans="1:17" x14ac:dyDescent="0.3">
      <c r="A729" t="s">
        <v>807</v>
      </c>
      <c r="B729" s="1">
        <v>45470</v>
      </c>
      <c r="C729" t="s">
        <v>53</v>
      </c>
      <c r="D729" t="s">
        <v>70</v>
      </c>
      <c r="E729" t="s">
        <v>167</v>
      </c>
      <c r="F729" t="s">
        <v>21</v>
      </c>
      <c r="G729" t="s">
        <v>82</v>
      </c>
      <c r="H729">
        <v>7000</v>
      </c>
      <c r="I729">
        <v>12</v>
      </c>
      <c r="J729">
        <v>15</v>
      </c>
      <c r="K729">
        <v>5</v>
      </c>
      <c r="L729">
        <v>71400</v>
      </c>
      <c r="M729">
        <v>66192.899999999994</v>
      </c>
      <c r="N729">
        <f t="shared" si="12"/>
        <v>5207.1000000000058</v>
      </c>
      <c r="O729" t="s">
        <v>23</v>
      </c>
      <c r="P729" t="s">
        <v>31</v>
      </c>
      <c r="Q729" t="s">
        <v>32</v>
      </c>
    </row>
    <row r="730" spans="1:17" x14ac:dyDescent="0.3">
      <c r="A730" t="s">
        <v>808</v>
      </c>
      <c r="B730" s="1">
        <v>45384</v>
      </c>
      <c r="C730" t="s">
        <v>53</v>
      </c>
      <c r="D730" t="s">
        <v>70</v>
      </c>
      <c r="E730" t="s">
        <v>100</v>
      </c>
      <c r="F730" t="s">
        <v>46</v>
      </c>
      <c r="G730" t="s">
        <v>55</v>
      </c>
      <c r="H730">
        <v>2500</v>
      </c>
      <c r="I730">
        <v>11</v>
      </c>
      <c r="J730">
        <v>15</v>
      </c>
      <c r="K730">
        <v>5</v>
      </c>
      <c r="L730">
        <v>23375</v>
      </c>
      <c r="M730">
        <v>20505.990000000002</v>
      </c>
      <c r="N730">
        <f t="shared" si="12"/>
        <v>2869.0099999999984</v>
      </c>
      <c r="O730" t="s">
        <v>23</v>
      </c>
      <c r="P730" t="s">
        <v>31</v>
      </c>
      <c r="Q730" t="s">
        <v>32</v>
      </c>
    </row>
    <row r="731" spans="1:17" x14ac:dyDescent="0.3">
      <c r="A731" t="s">
        <v>809</v>
      </c>
      <c r="B731" s="1">
        <v>45444</v>
      </c>
      <c r="C731" t="s">
        <v>34</v>
      </c>
      <c r="D731" t="s">
        <v>92</v>
      </c>
      <c r="E731" t="s">
        <v>75</v>
      </c>
      <c r="F731" t="s">
        <v>76</v>
      </c>
      <c r="G731" t="s">
        <v>77</v>
      </c>
      <c r="H731">
        <v>8000</v>
      </c>
      <c r="I731">
        <v>2</v>
      </c>
      <c r="J731">
        <v>10</v>
      </c>
      <c r="K731">
        <v>5</v>
      </c>
      <c r="L731">
        <v>14400</v>
      </c>
      <c r="M731">
        <v>14853.28</v>
      </c>
      <c r="N731">
        <f t="shared" si="12"/>
        <v>-453.28000000000065</v>
      </c>
      <c r="O731" t="s">
        <v>23</v>
      </c>
      <c r="P731" t="s">
        <v>24</v>
      </c>
      <c r="Q731" t="s">
        <v>25</v>
      </c>
    </row>
    <row r="732" spans="1:17" x14ac:dyDescent="0.3">
      <c r="A732" t="s">
        <v>810</v>
      </c>
      <c r="B732" s="1">
        <v>45458</v>
      </c>
      <c r="C732" t="s">
        <v>18</v>
      </c>
      <c r="D732" t="s">
        <v>19</v>
      </c>
      <c r="E732" t="s">
        <v>45</v>
      </c>
      <c r="F732" t="s">
        <v>46</v>
      </c>
      <c r="G732" t="s">
        <v>47</v>
      </c>
      <c r="H732">
        <v>15000</v>
      </c>
      <c r="I732">
        <v>5</v>
      </c>
      <c r="J732">
        <v>15</v>
      </c>
      <c r="K732">
        <v>10</v>
      </c>
      <c r="L732">
        <v>63750</v>
      </c>
      <c r="M732">
        <v>64218.07</v>
      </c>
      <c r="N732">
        <f t="shared" si="12"/>
        <v>-468.06999999999971</v>
      </c>
      <c r="O732" t="s">
        <v>23</v>
      </c>
      <c r="P732" t="s">
        <v>24</v>
      </c>
      <c r="Q732" t="s">
        <v>25</v>
      </c>
    </row>
    <row r="733" spans="1:17" x14ac:dyDescent="0.3">
      <c r="A733" t="s">
        <v>811</v>
      </c>
      <c r="B733" s="1">
        <v>45390</v>
      </c>
      <c r="C733" t="s">
        <v>53</v>
      </c>
      <c r="D733" t="s">
        <v>19</v>
      </c>
      <c r="E733" t="s">
        <v>20</v>
      </c>
      <c r="F733" t="s">
        <v>21</v>
      </c>
      <c r="G733" t="s">
        <v>22</v>
      </c>
      <c r="H733">
        <v>6000</v>
      </c>
      <c r="I733">
        <v>2</v>
      </c>
      <c r="J733">
        <v>10</v>
      </c>
      <c r="K733">
        <v>20</v>
      </c>
      <c r="L733">
        <v>10800</v>
      </c>
      <c r="M733">
        <v>10127.17</v>
      </c>
      <c r="N733">
        <f t="shared" si="12"/>
        <v>672.82999999999993</v>
      </c>
      <c r="O733" t="s">
        <v>38</v>
      </c>
      <c r="P733" t="s">
        <v>31</v>
      </c>
      <c r="Q733" t="s">
        <v>39</v>
      </c>
    </row>
    <row r="734" spans="1:17" x14ac:dyDescent="0.3">
      <c r="A734" t="s">
        <v>812</v>
      </c>
      <c r="B734" s="1">
        <v>45366</v>
      </c>
      <c r="C734" t="s">
        <v>34</v>
      </c>
      <c r="D734" t="s">
        <v>92</v>
      </c>
      <c r="E734" t="s">
        <v>45</v>
      </c>
      <c r="F734" t="s">
        <v>46</v>
      </c>
      <c r="G734" t="s">
        <v>47</v>
      </c>
      <c r="H734">
        <v>15000</v>
      </c>
      <c r="I734">
        <v>8</v>
      </c>
      <c r="J734">
        <v>15</v>
      </c>
      <c r="K734">
        <v>0</v>
      </c>
      <c r="L734">
        <v>102000</v>
      </c>
      <c r="M734">
        <v>105323.49</v>
      </c>
      <c r="N734">
        <f t="shared" si="12"/>
        <v>-3323.4900000000052</v>
      </c>
      <c r="O734" t="s">
        <v>23</v>
      </c>
      <c r="P734" t="s">
        <v>24</v>
      </c>
      <c r="Q734" t="s">
        <v>25</v>
      </c>
    </row>
    <row r="735" spans="1:17" x14ac:dyDescent="0.3">
      <c r="A735" t="s">
        <v>813</v>
      </c>
      <c r="B735" s="1">
        <v>45397</v>
      </c>
      <c r="C735" t="s">
        <v>34</v>
      </c>
      <c r="D735" t="s">
        <v>70</v>
      </c>
      <c r="E735" t="s">
        <v>42</v>
      </c>
      <c r="F735" t="s">
        <v>29</v>
      </c>
      <c r="G735" t="s">
        <v>43</v>
      </c>
      <c r="H735">
        <v>500</v>
      </c>
      <c r="I735">
        <v>3</v>
      </c>
      <c r="J735">
        <v>10</v>
      </c>
      <c r="K735">
        <v>15</v>
      </c>
      <c r="L735">
        <v>1350</v>
      </c>
      <c r="M735">
        <v>1383.16</v>
      </c>
      <c r="N735">
        <f t="shared" si="12"/>
        <v>-33.160000000000082</v>
      </c>
      <c r="O735" t="s">
        <v>38</v>
      </c>
      <c r="P735" t="s">
        <v>24</v>
      </c>
      <c r="Q735" t="s">
        <v>39</v>
      </c>
    </row>
    <row r="736" spans="1:17" x14ac:dyDescent="0.3">
      <c r="A736" t="s">
        <v>814</v>
      </c>
      <c r="B736" s="1">
        <v>45401</v>
      </c>
      <c r="C736" t="s">
        <v>18</v>
      </c>
      <c r="D736" t="s">
        <v>19</v>
      </c>
      <c r="E736" t="s">
        <v>63</v>
      </c>
      <c r="F736" t="s">
        <v>64</v>
      </c>
      <c r="G736" t="s">
        <v>65</v>
      </c>
      <c r="H736">
        <v>4000</v>
      </c>
      <c r="I736">
        <v>13</v>
      </c>
      <c r="J736">
        <v>15</v>
      </c>
      <c r="K736">
        <v>5</v>
      </c>
      <c r="L736">
        <v>44200</v>
      </c>
      <c r="M736">
        <v>40451.42</v>
      </c>
      <c r="N736">
        <f t="shared" si="12"/>
        <v>3748.5800000000017</v>
      </c>
      <c r="O736" t="s">
        <v>23</v>
      </c>
      <c r="P736" t="s">
        <v>31</v>
      </c>
      <c r="Q736" t="s">
        <v>32</v>
      </c>
    </row>
    <row r="737" spans="1:17" x14ac:dyDescent="0.3">
      <c r="A737" t="s">
        <v>815</v>
      </c>
      <c r="B737" s="1">
        <v>45292</v>
      </c>
      <c r="C737" t="s">
        <v>53</v>
      </c>
      <c r="D737" t="s">
        <v>19</v>
      </c>
      <c r="E737" t="s">
        <v>81</v>
      </c>
      <c r="F737" t="s">
        <v>21</v>
      </c>
      <c r="G737" t="s">
        <v>82</v>
      </c>
      <c r="H737">
        <v>8000</v>
      </c>
      <c r="I737">
        <v>9</v>
      </c>
      <c r="J737">
        <v>10</v>
      </c>
      <c r="K737">
        <v>15</v>
      </c>
      <c r="L737">
        <v>64800</v>
      </c>
      <c r="M737">
        <v>61239.51</v>
      </c>
      <c r="N737">
        <f t="shared" si="12"/>
        <v>3560.489999999998</v>
      </c>
      <c r="O737" t="s">
        <v>38</v>
      </c>
      <c r="P737" t="s">
        <v>31</v>
      </c>
      <c r="Q737" t="s">
        <v>39</v>
      </c>
    </row>
    <row r="738" spans="1:17" x14ac:dyDescent="0.3">
      <c r="A738" t="s">
        <v>816</v>
      </c>
      <c r="B738" s="1">
        <v>45422</v>
      </c>
      <c r="C738" t="s">
        <v>49</v>
      </c>
      <c r="D738" t="s">
        <v>27</v>
      </c>
      <c r="E738" t="s">
        <v>54</v>
      </c>
      <c r="F738" t="s">
        <v>46</v>
      </c>
      <c r="G738" t="s">
        <v>55</v>
      </c>
      <c r="H738">
        <v>4500</v>
      </c>
      <c r="I738">
        <v>12</v>
      </c>
      <c r="J738">
        <v>15</v>
      </c>
      <c r="K738">
        <v>25</v>
      </c>
      <c r="L738">
        <v>45900</v>
      </c>
      <c r="M738">
        <v>39800.58</v>
      </c>
      <c r="N738">
        <f t="shared" si="12"/>
        <v>6099.4199999999983</v>
      </c>
      <c r="O738" t="s">
        <v>38</v>
      </c>
      <c r="P738" t="s">
        <v>31</v>
      </c>
      <c r="Q738" t="s">
        <v>39</v>
      </c>
    </row>
    <row r="739" spans="1:17" x14ac:dyDescent="0.3">
      <c r="A739" t="s">
        <v>817</v>
      </c>
      <c r="B739" s="1">
        <v>45376</v>
      </c>
      <c r="C739" t="s">
        <v>53</v>
      </c>
      <c r="D739" t="s">
        <v>27</v>
      </c>
      <c r="E739" t="s">
        <v>45</v>
      </c>
      <c r="F739" t="s">
        <v>46</v>
      </c>
      <c r="G739" t="s">
        <v>47</v>
      </c>
      <c r="H739">
        <v>15000</v>
      </c>
      <c r="I739">
        <v>11</v>
      </c>
      <c r="J739">
        <v>10</v>
      </c>
      <c r="K739">
        <v>25</v>
      </c>
      <c r="L739">
        <v>148500</v>
      </c>
      <c r="M739">
        <v>142709.01</v>
      </c>
      <c r="N739">
        <f t="shared" si="12"/>
        <v>5790.9899999999907</v>
      </c>
      <c r="O739" t="s">
        <v>38</v>
      </c>
      <c r="P739" t="s">
        <v>31</v>
      </c>
      <c r="Q739" t="s">
        <v>39</v>
      </c>
    </row>
    <row r="740" spans="1:17" x14ac:dyDescent="0.3">
      <c r="A740" t="s">
        <v>818</v>
      </c>
      <c r="B740" s="1">
        <v>45468</v>
      </c>
      <c r="C740" t="s">
        <v>53</v>
      </c>
      <c r="D740" t="s">
        <v>19</v>
      </c>
      <c r="E740" t="s">
        <v>57</v>
      </c>
      <c r="F740" t="s">
        <v>46</v>
      </c>
      <c r="G740" t="s">
        <v>58</v>
      </c>
      <c r="H740">
        <v>18000</v>
      </c>
      <c r="I740">
        <v>10</v>
      </c>
      <c r="J740">
        <v>10</v>
      </c>
      <c r="K740">
        <v>20</v>
      </c>
      <c r="L740">
        <v>162000</v>
      </c>
      <c r="M740">
        <v>164922.94</v>
      </c>
      <c r="N740">
        <f t="shared" si="12"/>
        <v>-2922.9400000000023</v>
      </c>
      <c r="O740" t="s">
        <v>38</v>
      </c>
      <c r="P740" t="s">
        <v>24</v>
      </c>
      <c r="Q740" t="s">
        <v>39</v>
      </c>
    </row>
    <row r="741" spans="1:17" x14ac:dyDescent="0.3">
      <c r="A741" t="s">
        <v>819</v>
      </c>
      <c r="B741" s="1">
        <v>45463</v>
      </c>
      <c r="C741" t="s">
        <v>53</v>
      </c>
      <c r="D741" t="s">
        <v>41</v>
      </c>
      <c r="E741" t="s">
        <v>102</v>
      </c>
      <c r="F741" t="s">
        <v>29</v>
      </c>
      <c r="G741" t="s">
        <v>43</v>
      </c>
      <c r="H741">
        <v>1500</v>
      </c>
      <c r="I741">
        <v>8</v>
      </c>
      <c r="J741">
        <v>15</v>
      </c>
      <c r="K741">
        <v>5</v>
      </c>
      <c r="L741">
        <v>10200</v>
      </c>
      <c r="M741">
        <v>9608.67</v>
      </c>
      <c r="N741">
        <f t="shared" si="12"/>
        <v>591.32999999999993</v>
      </c>
      <c r="O741" t="s">
        <v>23</v>
      </c>
      <c r="P741" t="s">
        <v>31</v>
      </c>
      <c r="Q741" t="s">
        <v>32</v>
      </c>
    </row>
    <row r="742" spans="1:17" x14ac:dyDescent="0.3">
      <c r="A742" t="s">
        <v>820</v>
      </c>
      <c r="B742" s="1">
        <v>45443</v>
      </c>
      <c r="C742" t="s">
        <v>49</v>
      </c>
      <c r="D742" t="s">
        <v>35</v>
      </c>
      <c r="E742" t="s">
        <v>129</v>
      </c>
      <c r="F742" t="s">
        <v>21</v>
      </c>
      <c r="G742" t="s">
        <v>82</v>
      </c>
      <c r="H742">
        <v>3500</v>
      </c>
      <c r="I742">
        <v>1</v>
      </c>
      <c r="J742">
        <v>10</v>
      </c>
      <c r="K742">
        <v>10</v>
      </c>
      <c r="L742">
        <v>3150</v>
      </c>
      <c r="M742">
        <v>3221.88</v>
      </c>
      <c r="N742">
        <f t="shared" si="12"/>
        <v>-71.880000000000109</v>
      </c>
      <c r="O742" t="s">
        <v>23</v>
      </c>
      <c r="P742" t="s">
        <v>24</v>
      </c>
      <c r="Q742" t="s">
        <v>25</v>
      </c>
    </row>
    <row r="743" spans="1:17" x14ac:dyDescent="0.3">
      <c r="A743" t="s">
        <v>821</v>
      </c>
      <c r="B743" s="1">
        <v>45372</v>
      </c>
      <c r="C743" t="s">
        <v>18</v>
      </c>
      <c r="D743" t="s">
        <v>19</v>
      </c>
      <c r="E743" t="s">
        <v>90</v>
      </c>
      <c r="F743" t="s">
        <v>29</v>
      </c>
      <c r="G743" t="s">
        <v>37</v>
      </c>
      <c r="H743">
        <v>6500</v>
      </c>
      <c r="I743">
        <v>5</v>
      </c>
      <c r="J743">
        <v>10</v>
      </c>
      <c r="K743">
        <v>15</v>
      </c>
      <c r="L743">
        <v>29250</v>
      </c>
      <c r="M743">
        <v>28723.3</v>
      </c>
      <c r="N743">
        <f t="shared" si="12"/>
        <v>526.70000000000073</v>
      </c>
      <c r="O743" t="s">
        <v>38</v>
      </c>
      <c r="P743" t="s">
        <v>31</v>
      </c>
      <c r="Q743" t="s">
        <v>39</v>
      </c>
    </row>
    <row r="744" spans="1:17" x14ac:dyDescent="0.3">
      <c r="A744" t="s">
        <v>822</v>
      </c>
      <c r="B744" s="1">
        <v>45315</v>
      </c>
      <c r="C744" t="s">
        <v>53</v>
      </c>
      <c r="D744" t="s">
        <v>19</v>
      </c>
      <c r="E744" t="s">
        <v>54</v>
      </c>
      <c r="F744" t="s">
        <v>46</v>
      </c>
      <c r="G744" t="s">
        <v>55</v>
      </c>
      <c r="H744">
        <v>4500</v>
      </c>
      <c r="I744">
        <v>7</v>
      </c>
      <c r="J744">
        <v>15</v>
      </c>
      <c r="K744">
        <v>5</v>
      </c>
      <c r="L744">
        <v>26775</v>
      </c>
      <c r="M744">
        <v>26131.25</v>
      </c>
      <c r="N744">
        <f t="shared" si="12"/>
        <v>643.75</v>
      </c>
      <c r="O744" t="s">
        <v>23</v>
      </c>
      <c r="P744" t="s">
        <v>31</v>
      </c>
      <c r="Q744" t="s">
        <v>32</v>
      </c>
    </row>
    <row r="745" spans="1:17" x14ac:dyDescent="0.3">
      <c r="A745" t="s">
        <v>823</v>
      </c>
      <c r="B745" s="1">
        <v>45296</v>
      </c>
      <c r="C745" t="s">
        <v>18</v>
      </c>
      <c r="D745" t="s">
        <v>41</v>
      </c>
      <c r="E745" t="s">
        <v>155</v>
      </c>
      <c r="F745" t="s">
        <v>21</v>
      </c>
      <c r="G745" t="s">
        <v>72</v>
      </c>
      <c r="H745">
        <v>35000</v>
      </c>
      <c r="I745">
        <v>13</v>
      </c>
      <c r="J745">
        <v>15</v>
      </c>
      <c r="K745">
        <v>20</v>
      </c>
      <c r="L745">
        <v>386750</v>
      </c>
      <c r="M745">
        <v>400673.86</v>
      </c>
      <c r="N745">
        <f t="shared" si="12"/>
        <v>-13923.859999999986</v>
      </c>
      <c r="O745" t="s">
        <v>38</v>
      </c>
      <c r="P745" t="s">
        <v>24</v>
      </c>
      <c r="Q745" t="s">
        <v>39</v>
      </c>
    </row>
    <row r="746" spans="1:17" x14ac:dyDescent="0.3">
      <c r="A746" t="s">
        <v>824</v>
      </c>
      <c r="B746" s="1">
        <v>45395</v>
      </c>
      <c r="C746" t="s">
        <v>53</v>
      </c>
      <c r="D746" t="s">
        <v>41</v>
      </c>
      <c r="E746" t="s">
        <v>54</v>
      </c>
      <c r="F746" t="s">
        <v>46</v>
      </c>
      <c r="G746" t="s">
        <v>55</v>
      </c>
      <c r="H746">
        <v>4500</v>
      </c>
      <c r="I746">
        <v>9</v>
      </c>
      <c r="J746">
        <v>5</v>
      </c>
      <c r="K746">
        <v>10</v>
      </c>
      <c r="L746">
        <v>38475</v>
      </c>
      <c r="M746">
        <v>37019.97</v>
      </c>
      <c r="N746">
        <f t="shared" si="12"/>
        <v>1455.0299999999988</v>
      </c>
      <c r="O746" t="s">
        <v>38</v>
      </c>
      <c r="P746" t="s">
        <v>31</v>
      </c>
      <c r="Q746" t="s">
        <v>39</v>
      </c>
    </row>
    <row r="747" spans="1:17" x14ac:dyDescent="0.3">
      <c r="A747" t="s">
        <v>825</v>
      </c>
      <c r="B747" s="1">
        <v>45426</v>
      </c>
      <c r="C747" t="s">
        <v>18</v>
      </c>
      <c r="D747" t="s">
        <v>92</v>
      </c>
      <c r="E747" t="s">
        <v>42</v>
      </c>
      <c r="F747" t="s">
        <v>29</v>
      </c>
      <c r="G747" t="s">
        <v>43</v>
      </c>
      <c r="H747">
        <v>500</v>
      </c>
      <c r="I747">
        <v>13</v>
      </c>
      <c r="J747">
        <v>15</v>
      </c>
      <c r="K747">
        <v>5</v>
      </c>
      <c r="L747">
        <v>5525</v>
      </c>
      <c r="M747">
        <v>5371.61</v>
      </c>
      <c r="N747">
        <f t="shared" si="12"/>
        <v>153.39000000000033</v>
      </c>
      <c r="O747" t="s">
        <v>23</v>
      </c>
      <c r="P747" t="s">
        <v>31</v>
      </c>
      <c r="Q747" t="s">
        <v>32</v>
      </c>
    </row>
    <row r="748" spans="1:17" x14ac:dyDescent="0.3">
      <c r="A748" t="s">
        <v>826</v>
      </c>
      <c r="B748" s="1">
        <v>45459</v>
      </c>
      <c r="C748" t="s">
        <v>18</v>
      </c>
      <c r="D748" t="s">
        <v>70</v>
      </c>
      <c r="E748" t="s">
        <v>129</v>
      </c>
      <c r="F748" t="s">
        <v>21</v>
      </c>
      <c r="G748" t="s">
        <v>82</v>
      </c>
      <c r="H748">
        <v>3500</v>
      </c>
      <c r="I748">
        <v>3</v>
      </c>
      <c r="J748">
        <v>5</v>
      </c>
      <c r="K748">
        <v>5</v>
      </c>
      <c r="L748">
        <v>9975</v>
      </c>
      <c r="M748">
        <v>8670.2000000000007</v>
      </c>
      <c r="N748">
        <f t="shared" si="12"/>
        <v>1304.7999999999993</v>
      </c>
      <c r="O748" t="s">
        <v>23</v>
      </c>
      <c r="P748" t="s">
        <v>31</v>
      </c>
      <c r="Q748" t="s">
        <v>32</v>
      </c>
    </row>
    <row r="749" spans="1:17" x14ac:dyDescent="0.3">
      <c r="A749" t="s">
        <v>827</v>
      </c>
      <c r="B749" s="1">
        <v>45344</v>
      </c>
      <c r="C749" t="s">
        <v>49</v>
      </c>
      <c r="D749" t="s">
        <v>19</v>
      </c>
      <c r="E749" t="s">
        <v>140</v>
      </c>
      <c r="F749" t="s">
        <v>141</v>
      </c>
      <c r="G749" t="s">
        <v>142</v>
      </c>
      <c r="H749">
        <v>12000</v>
      </c>
      <c r="I749">
        <v>13</v>
      </c>
      <c r="J749">
        <v>15</v>
      </c>
      <c r="K749">
        <v>15</v>
      </c>
      <c r="L749">
        <v>132600</v>
      </c>
      <c r="M749">
        <v>115619.86</v>
      </c>
      <c r="N749">
        <f t="shared" si="12"/>
        <v>16980.14</v>
      </c>
      <c r="O749" t="s">
        <v>23</v>
      </c>
      <c r="P749" t="s">
        <v>31</v>
      </c>
      <c r="Q749" t="s">
        <v>32</v>
      </c>
    </row>
    <row r="750" spans="1:17" x14ac:dyDescent="0.3">
      <c r="A750" t="s">
        <v>828</v>
      </c>
      <c r="B750" s="1">
        <v>45401</v>
      </c>
      <c r="C750" t="s">
        <v>49</v>
      </c>
      <c r="D750" t="s">
        <v>19</v>
      </c>
      <c r="E750" t="s">
        <v>81</v>
      </c>
      <c r="F750" t="s">
        <v>21</v>
      </c>
      <c r="G750" t="s">
        <v>82</v>
      </c>
      <c r="H750">
        <v>8000</v>
      </c>
      <c r="I750">
        <v>2</v>
      </c>
      <c r="J750">
        <v>5</v>
      </c>
      <c r="K750">
        <v>15</v>
      </c>
      <c r="L750">
        <v>15200</v>
      </c>
      <c r="M750">
        <v>14555.25</v>
      </c>
      <c r="N750">
        <f t="shared" si="12"/>
        <v>644.75</v>
      </c>
      <c r="O750" t="s">
        <v>38</v>
      </c>
      <c r="P750" t="s">
        <v>31</v>
      </c>
      <c r="Q750" t="s">
        <v>39</v>
      </c>
    </row>
    <row r="751" spans="1:17" x14ac:dyDescent="0.3">
      <c r="A751" t="s">
        <v>829</v>
      </c>
      <c r="B751" s="1">
        <v>45377</v>
      </c>
      <c r="C751" t="s">
        <v>34</v>
      </c>
      <c r="D751" t="s">
        <v>41</v>
      </c>
      <c r="E751" t="s">
        <v>90</v>
      </c>
      <c r="F751" t="s">
        <v>29</v>
      </c>
      <c r="G751" t="s">
        <v>37</v>
      </c>
      <c r="H751">
        <v>6500</v>
      </c>
      <c r="I751">
        <v>5</v>
      </c>
      <c r="J751">
        <v>10</v>
      </c>
      <c r="K751">
        <v>15</v>
      </c>
      <c r="L751">
        <v>29250</v>
      </c>
      <c r="M751">
        <v>27764.1</v>
      </c>
      <c r="N751">
        <f t="shared" si="12"/>
        <v>1485.9000000000015</v>
      </c>
      <c r="O751" t="s">
        <v>38</v>
      </c>
      <c r="P751" t="s">
        <v>31</v>
      </c>
      <c r="Q751" t="s">
        <v>39</v>
      </c>
    </row>
    <row r="752" spans="1:17" x14ac:dyDescent="0.3">
      <c r="A752" t="s">
        <v>830</v>
      </c>
      <c r="B752" s="1">
        <v>45311</v>
      </c>
      <c r="C752" t="s">
        <v>53</v>
      </c>
      <c r="D752" t="s">
        <v>70</v>
      </c>
      <c r="E752" t="s">
        <v>63</v>
      </c>
      <c r="F752" t="s">
        <v>64</v>
      </c>
      <c r="G752" t="s">
        <v>65</v>
      </c>
      <c r="H752">
        <v>4000</v>
      </c>
      <c r="I752">
        <v>14</v>
      </c>
      <c r="J752">
        <v>5</v>
      </c>
      <c r="K752">
        <v>10</v>
      </c>
      <c r="L752">
        <v>53200</v>
      </c>
      <c r="M752">
        <v>53769.08</v>
      </c>
      <c r="N752">
        <f t="shared" si="12"/>
        <v>-569.08000000000175</v>
      </c>
      <c r="O752" t="s">
        <v>38</v>
      </c>
      <c r="P752" t="s">
        <v>24</v>
      </c>
      <c r="Q752" t="s">
        <v>39</v>
      </c>
    </row>
    <row r="753" spans="1:17" x14ac:dyDescent="0.3">
      <c r="A753" t="s">
        <v>831</v>
      </c>
      <c r="B753" s="1">
        <v>45419</v>
      </c>
      <c r="C753" t="s">
        <v>53</v>
      </c>
      <c r="D753" t="s">
        <v>41</v>
      </c>
      <c r="E753" t="s">
        <v>36</v>
      </c>
      <c r="F753" t="s">
        <v>29</v>
      </c>
      <c r="G753" t="s">
        <v>37</v>
      </c>
      <c r="H753">
        <v>1200</v>
      </c>
      <c r="I753">
        <v>3</v>
      </c>
      <c r="J753">
        <v>10</v>
      </c>
      <c r="K753">
        <v>5</v>
      </c>
      <c r="L753">
        <v>3240</v>
      </c>
      <c r="M753">
        <v>2755.05</v>
      </c>
      <c r="N753">
        <f t="shared" si="12"/>
        <v>484.94999999999982</v>
      </c>
      <c r="O753" t="s">
        <v>23</v>
      </c>
      <c r="P753" t="s">
        <v>31</v>
      </c>
      <c r="Q753" t="s">
        <v>32</v>
      </c>
    </row>
    <row r="754" spans="1:17" x14ac:dyDescent="0.3">
      <c r="A754" t="s">
        <v>832</v>
      </c>
      <c r="B754" s="1">
        <v>45457</v>
      </c>
      <c r="C754" t="s">
        <v>34</v>
      </c>
      <c r="D754" t="s">
        <v>92</v>
      </c>
      <c r="E754" t="s">
        <v>90</v>
      </c>
      <c r="F754" t="s">
        <v>29</v>
      </c>
      <c r="G754" t="s">
        <v>37</v>
      </c>
      <c r="H754">
        <v>6500</v>
      </c>
      <c r="I754">
        <v>1</v>
      </c>
      <c r="J754">
        <v>10</v>
      </c>
      <c r="K754">
        <v>0</v>
      </c>
      <c r="L754">
        <v>5850</v>
      </c>
      <c r="M754">
        <v>5069.82</v>
      </c>
      <c r="N754">
        <f t="shared" si="12"/>
        <v>780.18000000000029</v>
      </c>
      <c r="O754" t="s">
        <v>23</v>
      </c>
      <c r="P754" t="s">
        <v>31</v>
      </c>
      <c r="Q754" t="s">
        <v>32</v>
      </c>
    </row>
    <row r="755" spans="1:17" x14ac:dyDescent="0.3">
      <c r="A755" t="s">
        <v>833</v>
      </c>
      <c r="B755" s="1">
        <v>45407</v>
      </c>
      <c r="C755" t="s">
        <v>18</v>
      </c>
      <c r="D755" t="s">
        <v>92</v>
      </c>
      <c r="E755" t="s">
        <v>61</v>
      </c>
      <c r="F755" t="s">
        <v>29</v>
      </c>
      <c r="G755" t="s">
        <v>43</v>
      </c>
      <c r="H755">
        <v>2800</v>
      </c>
      <c r="I755">
        <v>11</v>
      </c>
      <c r="J755">
        <v>10</v>
      </c>
      <c r="K755">
        <v>15</v>
      </c>
      <c r="L755">
        <v>27720</v>
      </c>
      <c r="M755">
        <v>27646.25</v>
      </c>
      <c r="N755">
        <f t="shared" si="12"/>
        <v>73.75</v>
      </c>
      <c r="O755" t="s">
        <v>38</v>
      </c>
      <c r="P755" t="s">
        <v>31</v>
      </c>
      <c r="Q755" t="s">
        <v>39</v>
      </c>
    </row>
    <row r="756" spans="1:17" x14ac:dyDescent="0.3">
      <c r="A756" t="s">
        <v>834</v>
      </c>
      <c r="B756" s="1">
        <v>45433</v>
      </c>
      <c r="C756" t="s">
        <v>18</v>
      </c>
      <c r="D756" t="s">
        <v>70</v>
      </c>
      <c r="E756" t="s">
        <v>140</v>
      </c>
      <c r="F756" t="s">
        <v>141</v>
      </c>
      <c r="G756" t="s">
        <v>142</v>
      </c>
      <c r="H756">
        <v>12000</v>
      </c>
      <c r="I756">
        <v>11</v>
      </c>
      <c r="J756">
        <v>10</v>
      </c>
      <c r="K756">
        <v>0</v>
      </c>
      <c r="L756">
        <v>118800</v>
      </c>
      <c r="M756">
        <v>117864.28</v>
      </c>
      <c r="N756">
        <f t="shared" si="12"/>
        <v>935.72000000000116</v>
      </c>
      <c r="O756" t="s">
        <v>23</v>
      </c>
      <c r="P756" t="s">
        <v>31</v>
      </c>
      <c r="Q756" t="s">
        <v>32</v>
      </c>
    </row>
    <row r="757" spans="1:17" x14ac:dyDescent="0.3">
      <c r="A757" t="s">
        <v>835</v>
      </c>
      <c r="B757" s="1">
        <v>45311</v>
      </c>
      <c r="C757" t="s">
        <v>34</v>
      </c>
      <c r="D757" t="s">
        <v>41</v>
      </c>
      <c r="E757" t="s">
        <v>90</v>
      </c>
      <c r="F757" t="s">
        <v>29</v>
      </c>
      <c r="G757" t="s">
        <v>37</v>
      </c>
      <c r="H757">
        <v>6500</v>
      </c>
      <c r="I757">
        <v>4</v>
      </c>
      <c r="J757">
        <v>5</v>
      </c>
      <c r="K757">
        <v>20</v>
      </c>
      <c r="L757">
        <v>24700</v>
      </c>
      <c r="M757">
        <v>21068.78</v>
      </c>
      <c r="N757">
        <f t="shared" si="12"/>
        <v>3631.2200000000012</v>
      </c>
      <c r="O757" t="s">
        <v>38</v>
      </c>
      <c r="P757" t="s">
        <v>31</v>
      </c>
      <c r="Q757" t="s">
        <v>39</v>
      </c>
    </row>
    <row r="758" spans="1:17" x14ac:dyDescent="0.3">
      <c r="A758" t="s">
        <v>836</v>
      </c>
      <c r="B758" s="1">
        <v>45315</v>
      </c>
      <c r="C758" t="s">
        <v>18</v>
      </c>
      <c r="D758" t="s">
        <v>92</v>
      </c>
      <c r="E758" t="s">
        <v>107</v>
      </c>
      <c r="F758" t="s">
        <v>108</v>
      </c>
      <c r="G758" t="s">
        <v>109</v>
      </c>
      <c r="H758">
        <v>18000</v>
      </c>
      <c r="I758">
        <v>10</v>
      </c>
      <c r="J758">
        <v>5</v>
      </c>
      <c r="K758">
        <v>15</v>
      </c>
      <c r="L758">
        <v>171000</v>
      </c>
      <c r="M758">
        <v>154371.51</v>
      </c>
      <c r="N758">
        <f t="shared" si="12"/>
        <v>16628.489999999991</v>
      </c>
      <c r="O758" t="s">
        <v>38</v>
      </c>
      <c r="P758" t="s">
        <v>31</v>
      </c>
      <c r="Q758" t="s">
        <v>39</v>
      </c>
    </row>
    <row r="759" spans="1:17" x14ac:dyDescent="0.3">
      <c r="A759" t="s">
        <v>837</v>
      </c>
      <c r="B759" s="1">
        <v>45386</v>
      </c>
      <c r="C759" t="s">
        <v>34</v>
      </c>
      <c r="D759" t="s">
        <v>19</v>
      </c>
      <c r="E759" t="s">
        <v>100</v>
      </c>
      <c r="F759" t="s">
        <v>46</v>
      </c>
      <c r="G759" t="s">
        <v>55</v>
      </c>
      <c r="H759">
        <v>2500</v>
      </c>
      <c r="I759">
        <v>1</v>
      </c>
      <c r="J759">
        <v>10</v>
      </c>
      <c r="K759">
        <v>20</v>
      </c>
      <c r="L759">
        <v>2250</v>
      </c>
      <c r="M759">
        <v>2062.38</v>
      </c>
      <c r="N759">
        <f t="shared" si="12"/>
        <v>187.61999999999989</v>
      </c>
      <c r="O759" t="s">
        <v>38</v>
      </c>
      <c r="P759" t="s">
        <v>31</v>
      </c>
      <c r="Q759" t="s">
        <v>39</v>
      </c>
    </row>
    <row r="760" spans="1:17" x14ac:dyDescent="0.3">
      <c r="A760" t="s">
        <v>838</v>
      </c>
      <c r="B760" s="1">
        <v>45464</v>
      </c>
      <c r="C760" t="s">
        <v>49</v>
      </c>
      <c r="D760" t="s">
        <v>35</v>
      </c>
      <c r="E760" t="s">
        <v>28</v>
      </c>
      <c r="F760" t="s">
        <v>29</v>
      </c>
      <c r="G760" t="s">
        <v>30</v>
      </c>
      <c r="H760">
        <v>1800</v>
      </c>
      <c r="I760">
        <v>13</v>
      </c>
      <c r="J760">
        <v>5</v>
      </c>
      <c r="K760">
        <v>10</v>
      </c>
      <c r="L760">
        <v>22230</v>
      </c>
      <c r="M760">
        <v>22182.03</v>
      </c>
      <c r="N760">
        <f t="shared" si="12"/>
        <v>47.970000000001164</v>
      </c>
      <c r="O760" t="s">
        <v>38</v>
      </c>
      <c r="P760" t="s">
        <v>31</v>
      </c>
      <c r="Q760" t="s">
        <v>39</v>
      </c>
    </row>
    <row r="761" spans="1:17" x14ac:dyDescent="0.3">
      <c r="A761" t="s">
        <v>839</v>
      </c>
      <c r="B761" s="1">
        <v>45415</v>
      </c>
      <c r="C761" t="s">
        <v>53</v>
      </c>
      <c r="D761" t="s">
        <v>70</v>
      </c>
      <c r="E761" t="s">
        <v>45</v>
      </c>
      <c r="F761" t="s">
        <v>46</v>
      </c>
      <c r="G761" t="s">
        <v>47</v>
      </c>
      <c r="H761">
        <v>15000</v>
      </c>
      <c r="I761">
        <v>1</v>
      </c>
      <c r="J761">
        <v>10</v>
      </c>
      <c r="K761">
        <v>25</v>
      </c>
      <c r="L761">
        <v>13500</v>
      </c>
      <c r="M761">
        <v>12597.88</v>
      </c>
      <c r="N761">
        <f t="shared" si="12"/>
        <v>902.1200000000008</v>
      </c>
      <c r="O761" t="s">
        <v>38</v>
      </c>
      <c r="P761" t="s">
        <v>31</v>
      </c>
      <c r="Q761" t="s">
        <v>39</v>
      </c>
    </row>
    <row r="762" spans="1:17" x14ac:dyDescent="0.3">
      <c r="A762" t="s">
        <v>840</v>
      </c>
      <c r="B762" s="1">
        <v>45339</v>
      </c>
      <c r="C762" t="s">
        <v>49</v>
      </c>
      <c r="D762" t="s">
        <v>70</v>
      </c>
      <c r="E762" t="s">
        <v>81</v>
      </c>
      <c r="F762" t="s">
        <v>21</v>
      </c>
      <c r="G762" t="s">
        <v>82</v>
      </c>
      <c r="H762">
        <v>8000</v>
      </c>
      <c r="I762">
        <v>4</v>
      </c>
      <c r="J762">
        <v>10</v>
      </c>
      <c r="K762">
        <v>10</v>
      </c>
      <c r="L762">
        <v>28800</v>
      </c>
      <c r="M762">
        <v>28145.87</v>
      </c>
      <c r="N762">
        <f t="shared" si="12"/>
        <v>654.13000000000102</v>
      </c>
      <c r="O762" t="s">
        <v>23</v>
      </c>
      <c r="P762" t="s">
        <v>31</v>
      </c>
      <c r="Q762" t="s">
        <v>32</v>
      </c>
    </row>
    <row r="763" spans="1:17" x14ac:dyDescent="0.3">
      <c r="A763" t="s">
        <v>841</v>
      </c>
      <c r="B763" s="1">
        <v>45371</v>
      </c>
      <c r="C763" t="s">
        <v>18</v>
      </c>
      <c r="D763" t="s">
        <v>92</v>
      </c>
      <c r="E763" t="s">
        <v>155</v>
      </c>
      <c r="F763" t="s">
        <v>21</v>
      </c>
      <c r="G763" t="s">
        <v>72</v>
      </c>
      <c r="H763">
        <v>35000</v>
      </c>
      <c r="I763">
        <v>15</v>
      </c>
      <c r="J763">
        <v>15</v>
      </c>
      <c r="K763">
        <v>10</v>
      </c>
      <c r="L763">
        <v>446250</v>
      </c>
      <c r="M763">
        <v>391983.33</v>
      </c>
      <c r="N763">
        <f t="shared" si="12"/>
        <v>54266.669999999984</v>
      </c>
      <c r="O763" t="s">
        <v>23</v>
      </c>
      <c r="P763" t="s">
        <v>31</v>
      </c>
      <c r="Q763" t="s">
        <v>32</v>
      </c>
    </row>
    <row r="764" spans="1:17" x14ac:dyDescent="0.3">
      <c r="A764" t="s">
        <v>842</v>
      </c>
      <c r="B764" s="1">
        <v>45297</v>
      </c>
      <c r="C764" t="s">
        <v>34</v>
      </c>
      <c r="D764" t="s">
        <v>41</v>
      </c>
      <c r="E764" t="s">
        <v>20</v>
      </c>
      <c r="F764" t="s">
        <v>21</v>
      </c>
      <c r="G764" t="s">
        <v>22</v>
      </c>
      <c r="H764">
        <v>6000</v>
      </c>
      <c r="I764">
        <v>7</v>
      </c>
      <c r="J764">
        <v>5</v>
      </c>
      <c r="K764">
        <v>25</v>
      </c>
      <c r="L764">
        <v>39900</v>
      </c>
      <c r="M764">
        <v>37371.629999999997</v>
      </c>
      <c r="N764">
        <f t="shared" si="12"/>
        <v>2528.3700000000026</v>
      </c>
      <c r="O764" t="s">
        <v>38</v>
      </c>
      <c r="P764" t="s">
        <v>31</v>
      </c>
      <c r="Q764" t="s">
        <v>39</v>
      </c>
    </row>
    <row r="765" spans="1:17" x14ac:dyDescent="0.3">
      <c r="A765" t="s">
        <v>843</v>
      </c>
      <c r="B765" s="1">
        <v>45454</v>
      </c>
      <c r="C765" t="s">
        <v>34</v>
      </c>
      <c r="D765" t="s">
        <v>27</v>
      </c>
      <c r="E765" t="s">
        <v>45</v>
      </c>
      <c r="F765" t="s">
        <v>46</v>
      </c>
      <c r="G765" t="s">
        <v>47</v>
      </c>
      <c r="H765">
        <v>15000</v>
      </c>
      <c r="I765">
        <v>10</v>
      </c>
      <c r="J765">
        <v>15</v>
      </c>
      <c r="K765">
        <v>15</v>
      </c>
      <c r="L765">
        <v>127500</v>
      </c>
      <c r="M765">
        <v>132875.79</v>
      </c>
      <c r="N765">
        <f t="shared" si="12"/>
        <v>-5375.7900000000081</v>
      </c>
      <c r="O765" t="s">
        <v>23</v>
      </c>
      <c r="P765" t="s">
        <v>24</v>
      </c>
      <c r="Q765" t="s">
        <v>25</v>
      </c>
    </row>
    <row r="766" spans="1:17" x14ac:dyDescent="0.3">
      <c r="A766" t="s">
        <v>844</v>
      </c>
      <c r="B766" s="1">
        <v>45394</v>
      </c>
      <c r="C766" t="s">
        <v>53</v>
      </c>
      <c r="D766" t="s">
        <v>70</v>
      </c>
      <c r="E766" t="s">
        <v>151</v>
      </c>
      <c r="F766" t="s">
        <v>141</v>
      </c>
      <c r="G766" t="s">
        <v>142</v>
      </c>
      <c r="H766">
        <v>3500</v>
      </c>
      <c r="I766">
        <v>11</v>
      </c>
      <c r="J766">
        <v>10</v>
      </c>
      <c r="K766">
        <v>10</v>
      </c>
      <c r="L766">
        <v>34650</v>
      </c>
      <c r="M766">
        <v>30934.5</v>
      </c>
      <c r="N766">
        <f t="shared" si="12"/>
        <v>3715.5</v>
      </c>
      <c r="O766" t="s">
        <v>23</v>
      </c>
      <c r="P766" t="s">
        <v>31</v>
      </c>
      <c r="Q766" t="s">
        <v>32</v>
      </c>
    </row>
    <row r="767" spans="1:17" x14ac:dyDescent="0.3">
      <c r="A767" t="s">
        <v>845</v>
      </c>
      <c r="B767" s="1">
        <v>45466</v>
      </c>
      <c r="C767" t="s">
        <v>34</v>
      </c>
      <c r="D767" t="s">
        <v>19</v>
      </c>
      <c r="E767" t="s">
        <v>129</v>
      </c>
      <c r="F767" t="s">
        <v>21</v>
      </c>
      <c r="G767" t="s">
        <v>82</v>
      </c>
      <c r="H767">
        <v>3500</v>
      </c>
      <c r="I767">
        <v>10</v>
      </c>
      <c r="J767">
        <v>10</v>
      </c>
      <c r="K767">
        <v>10</v>
      </c>
      <c r="L767">
        <v>31500</v>
      </c>
      <c r="M767">
        <v>30255.49</v>
      </c>
      <c r="N767">
        <f t="shared" si="12"/>
        <v>1244.5099999999984</v>
      </c>
      <c r="O767" t="s">
        <v>23</v>
      </c>
      <c r="P767" t="s">
        <v>31</v>
      </c>
      <c r="Q767" t="s">
        <v>32</v>
      </c>
    </row>
    <row r="768" spans="1:17" x14ac:dyDescent="0.3">
      <c r="A768" t="s">
        <v>846</v>
      </c>
      <c r="B768" s="1">
        <v>45468</v>
      </c>
      <c r="C768" t="s">
        <v>18</v>
      </c>
      <c r="D768" t="s">
        <v>41</v>
      </c>
      <c r="E768" t="s">
        <v>20</v>
      </c>
      <c r="F768" t="s">
        <v>21</v>
      </c>
      <c r="G768" t="s">
        <v>22</v>
      </c>
      <c r="H768">
        <v>6000</v>
      </c>
      <c r="I768">
        <v>6</v>
      </c>
      <c r="J768">
        <v>5</v>
      </c>
      <c r="K768">
        <v>15</v>
      </c>
      <c r="L768">
        <v>34200</v>
      </c>
      <c r="M768">
        <v>30557.21</v>
      </c>
      <c r="N768">
        <f t="shared" si="12"/>
        <v>3642.7900000000009</v>
      </c>
      <c r="O768" t="s">
        <v>38</v>
      </c>
      <c r="P768" t="s">
        <v>31</v>
      </c>
      <c r="Q768" t="s">
        <v>39</v>
      </c>
    </row>
    <row r="769" spans="1:17" x14ac:dyDescent="0.3">
      <c r="A769" t="s">
        <v>847</v>
      </c>
      <c r="B769" s="1">
        <v>45465</v>
      </c>
      <c r="C769" t="s">
        <v>18</v>
      </c>
      <c r="D769" t="s">
        <v>70</v>
      </c>
      <c r="E769" t="s">
        <v>67</v>
      </c>
      <c r="F769" t="s">
        <v>29</v>
      </c>
      <c r="G769" t="s">
        <v>68</v>
      </c>
      <c r="H769">
        <v>1200</v>
      </c>
      <c r="I769">
        <v>7</v>
      </c>
      <c r="J769">
        <v>15</v>
      </c>
      <c r="K769">
        <v>5</v>
      </c>
      <c r="L769">
        <v>7140</v>
      </c>
      <c r="M769">
        <v>6666.96</v>
      </c>
      <c r="N769">
        <f t="shared" si="12"/>
        <v>473.03999999999996</v>
      </c>
      <c r="O769" t="s">
        <v>23</v>
      </c>
      <c r="P769" t="s">
        <v>31</v>
      </c>
      <c r="Q769" t="s">
        <v>32</v>
      </c>
    </row>
    <row r="770" spans="1:17" x14ac:dyDescent="0.3">
      <c r="A770" t="s">
        <v>848</v>
      </c>
      <c r="B770" s="1">
        <v>45443</v>
      </c>
      <c r="C770" t="s">
        <v>18</v>
      </c>
      <c r="D770" t="s">
        <v>35</v>
      </c>
      <c r="E770" t="s">
        <v>71</v>
      </c>
      <c r="F770" t="s">
        <v>21</v>
      </c>
      <c r="G770" t="s">
        <v>72</v>
      </c>
      <c r="H770">
        <v>60000</v>
      </c>
      <c r="I770">
        <v>6</v>
      </c>
      <c r="J770">
        <v>15</v>
      </c>
      <c r="K770">
        <v>15</v>
      </c>
      <c r="L770">
        <v>306000</v>
      </c>
      <c r="M770">
        <v>274632.18</v>
      </c>
      <c r="N770">
        <f t="shared" si="12"/>
        <v>31367.820000000007</v>
      </c>
      <c r="O770" t="s">
        <v>23</v>
      </c>
      <c r="P770" t="s">
        <v>31</v>
      </c>
      <c r="Q770" t="s">
        <v>32</v>
      </c>
    </row>
    <row r="771" spans="1:17" x14ac:dyDescent="0.3">
      <c r="A771" t="s">
        <v>849</v>
      </c>
      <c r="B771" s="1">
        <v>45365</v>
      </c>
      <c r="C771" t="s">
        <v>53</v>
      </c>
      <c r="D771" t="s">
        <v>70</v>
      </c>
      <c r="E771" t="s">
        <v>36</v>
      </c>
      <c r="F771" t="s">
        <v>29</v>
      </c>
      <c r="G771" t="s">
        <v>37</v>
      </c>
      <c r="H771">
        <v>1200</v>
      </c>
      <c r="I771">
        <v>7</v>
      </c>
      <c r="J771">
        <v>15</v>
      </c>
      <c r="K771">
        <v>5</v>
      </c>
      <c r="L771">
        <v>7140</v>
      </c>
      <c r="M771">
        <v>6310.86</v>
      </c>
      <c r="N771">
        <f t="shared" ref="N771:N834" si="13">L771-M771</f>
        <v>829.14000000000033</v>
      </c>
      <c r="O771" t="s">
        <v>23</v>
      </c>
      <c r="P771" t="s">
        <v>31</v>
      </c>
      <c r="Q771" t="s">
        <v>32</v>
      </c>
    </row>
    <row r="772" spans="1:17" x14ac:dyDescent="0.3">
      <c r="A772" t="s">
        <v>850</v>
      </c>
      <c r="B772" s="1">
        <v>45296</v>
      </c>
      <c r="C772" t="s">
        <v>34</v>
      </c>
      <c r="D772" t="s">
        <v>27</v>
      </c>
      <c r="E772" t="s">
        <v>167</v>
      </c>
      <c r="F772" t="s">
        <v>21</v>
      </c>
      <c r="G772" t="s">
        <v>82</v>
      </c>
      <c r="H772">
        <v>7000</v>
      </c>
      <c r="I772">
        <v>15</v>
      </c>
      <c r="J772">
        <v>10</v>
      </c>
      <c r="K772">
        <v>10</v>
      </c>
      <c r="L772">
        <v>94500</v>
      </c>
      <c r="M772">
        <v>85637.77</v>
      </c>
      <c r="N772">
        <f t="shared" si="13"/>
        <v>8862.2299999999959</v>
      </c>
      <c r="O772" t="s">
        <v>23</v>
      </c>
      <c r="P772" t="s">
        <v>31</v>
      </c>
      <c r="Q772" t="s">
        <v>32</v>
      </c>
    </row>
    <row r="773" spans="1:17" x14ac:dyDescent="0.3">
      <c r="A773" t="s">
        <v>851</v>
      </c>
      <c r="B773" s="1">
        <v>45449</v>
      </c>
      <c r="C773" t="s">
        <v>49</v>
      </c>
      <c r="D773" t="s">
        <v>19</v>
      </c>
      <c r="E773" t="s">
        <v>107</v>
      </c>
      <c r="F773" t="s">
        <v>108</v>
      </c>
      <c r="G773" t="s">
        <v>109</v>
      </c>
      <c r="H773">
        <v>18000</v>
      </c>
      <c r="I773">
        <v>9</v>
      </c>
      <c r="J773">
        <v>10</v>
      </c>
      <c r="K773">
        <v>20</v>
      </c>
      <c r="L773">
        <v>145800</v>
      </c>
      <c r="M773">
        <v>140709.93</v>
      </c>
      <c r="N773">
        <f t="shared" si="13"/>
        <v>5090.070000000007</v>
      </c>
      <c r="O773" t="s">
        <v>38</v>
      </c>
      <c r="P773" t="s">
        <v>31</v>
      </c>
      <c r="Q773" t="s">
        <v>39</v>
      </c>
    </row>
    <row r="774" spans="1:17" x14ac:dyDescent="0.3">
      <c r="A774" t="s">
        <v>852</v>
      </c>
      <c r="B774" s="1">
        <v>45470</v>
      </c>
      <c r="C774" t="s">
        <v>34</v>
      </c>
      <c r="D774" t="s">
        <v>92</v>
      </c>
      <c r="E774" t="s">
        <v>90</v>
      </c>
      <c r="F774" t="s">
        <v>29</v>
      </c>
      <c r="G774" t="s">
        <v>37</v>
      </c>
      <c r="H774">
        <v>6500</v>
      </c>
      <c r="I774">
        <v>12</v>
      </c>
      <c r="J774">
        <v>10</v>
      </c>
      <c r="K774">
        <v>5</v>
      </c>
      <c r="L774">
        <v>70200</v>
      </c>
      <c r="M774">
        <v>61600.36</v>
      </c>
      <c r="N774">
        <f t="shared" si="13"/>
        <v>8599.64</v>
      </c>
      <c r="O774" t="s">
        <v>23</v>
      </c>
      <c r="P774" t="s">
        <v>31</v>
      </c>
      <c r="Q774" t="s">
        <v>32</v>
      </c>
    </row>
    <row r="775" spans="1:17" x14ac:dyDescent="0.3">
      <c r="A775" t="s">
        <v>853</v>
      </c>
      <c r="B775" s="1">
        <v>45393</v>
      </c>
      <c r="C775" t="s">
        <v>53</v>
      </c>
      <c r="D775" t="s">
        <v>92</v>
      </c>
      <c r="E775" t="s">
        <v>90</v>
      </c>
      <c r="F775" t="s">
        <v>29</v>
      </c>
      <c r="G775" t="s">
        <v>37</v>
      </c>
      <c r="H775">
        <v>6500</v>
      </c>
      <c r="I775">
        <v>15</v>
      </c>
      <c r="J775">
        <v>10</v>
      </c>
      <c r="K775">
        <v>5</v>
      </c>
      <c r="L775">
        <v>87750</v>
      </c>
      <c r="M775">
        <v>85983.55</v>
      </c>
      <c r="N775">
        <f t="shared" si="13"/>
        <v>1766.4499999999971</v>
      </c>
      <c r="O775" t="s">
        <v>23</v>
      </c>
      <c r="P775" t="s">
        <v>31</v>
      </c>
      <c r="Q775" t="s">
        <v>32</v>
      </c>
    </row>
    <row r="776" spans="1:17" x14ac:dyDescent="0.3">
      <c r="A776" t="s">
        <v>854</v>
      </c>
      <c r="B776" s="1">
        <v>45293</v>
      </c>
      <c r="C776" t="s">
        <v>18</v>
      </c>
      <c r="D776" t="s">
        <v>41</v>
      </c>
      <c r="E776" t="s">
        <v>20</v>
      </c>
      <c r="F776" t="s">
        <v>21</v>
      </c>
      <c r="G776" t="s">
        <v>22</v>
      </c>
      <c r="H776">
        <v>6000</v>
      </c>
      <c r="I776">
        <v>3</v>
      </c>
      <c r="J776">
        <v>5</v>
      </c>
      <c r="K776">
        <v>20</v>
      </c>
      <c r="L776">
        <v>17100</v>
      </c>
      <c r="M776">
        <v>14819.91</v>
      </c>
      <c r="N776">
        <f t="shared" si="13"/>
        <v>2280.09</v>
      </c>
      <c r="O776" t="s">
        <v>38</v>
      </c>
      <c r="P776" t="s">
        <v>31</v>
      </c>
      <c r="Q776" t="s">
        <v>39</v>
      </c>
    </row>
    <row r="777" spans="1:17" x14ac:dyDescent="0.3">
      <c r="A777" t="s">
        <v>855</v>
      </c>
      <c r="B777" s="1">
        <v>45358</v>
      </c>
      <c r="C777" t="s">
        <v>53</v>
      </c>
      <c r="D777" t="s">
        <v>92</v>
      </c>
      <c r="E777" t="s">
        <v>57</v>
      </c>
      <c r="F777" t="s">
        <v>46</v>
      </c>
      <c r="G777" t="s">
        <v>58</v>
      </c>
      <c r="H777">
        <v>18000</v>
      </c>
      <c r="I777">
        <v>6</v>
      </c>
      <c r="J777">
        <v>5</v>
      </c>
      <c r="K777">
        <v>5</v>
      </c>
      <c r="L777">
        <v>102600</v>
      </c>
      <c r="M777">
        <v>102834.22</v>
      </c>
      <c r="N777">
        <f t="shared" si="13"/>
        <v>-234.22000000000116</v>
      </c>
      <c r="O777" t="s">
        <v>23</v>
      </c>
      <c r="P777" t="s">
        <v>24</v>
      </c>
      <c r="Q777" t="s">
        <v>25</v>
      </c>
    </row>
    <row r="778" spans="1:17" x14ac:dyDescent="0.3">
      <c r="A778" t="s">
        <v>856</v>
      </c>
      <c r="B778" s="1">
        <v>45329</v>
      </c>
      <c r="C778" t="s">
        <v>34</v>
      </c>
      <c r="D778" t="s">
        <v>92</v>
      </c>
      <c r="E778" t="s">
        <v>45</v>
      </c>
      <c r="F778" t="s">
        <v>46</v>
      </c>
      <c r="G778" t="s">
        <v>47</v>
      </c>
      <c r="H778">
        <v>15000</v>
      </c>
      <c r="I778">
        <v>9</v>
      </c>
      <c r="J778">
        <v>10</v>
      </c>
      <c r="K778">
        <v>15</v>
      </c>
      <c r="L778">
        <v>121500</v>
      </c>
      <c r="M778">
        <v>117099.13</v>
      </c>
      <c r="N778">
        <f t="shared" si="13"/>
        <v>4400.8699999999953</v>
      </c>
      <c r="O778" t="s">
        <v>38</v>
      </c>
      <c r="P778" t="s">
        <v>31</v>
      </c>
      <c r="Q778" t="s">
        <v>39</v>
      </c>
    </row>
    <row r="779" spans="1:17" x14ac:dyDescent="0.3">
      <c r="A779" t="s">
        <v>857</v>
      </c>
      <c r="B779" s="1">
        <v>45354</v>
      </c>
      <c r="C779" t="s">
        <v>18</v>
      </c>
      <c r="D779" t="s">
        <v>70</v>
      </c>
      <c r="E779" t="s">
        <v>140</v>
      </c>
      <c r="F779" t="s">
        <v>141</v>
      </c>
      <c r="G779" t="s">
        <v>142</v>
      </c>
      <c r="H779">
        <v>12000</v>
      </c>
      <c r="I779">
        <v>13</v>
      </c>
      <c r="J779">
        <v>10</v>
      </c>
      <c r="K779">
        <v>5</v>
      </c>
      <c r="L779">
        <v>140400</v>
      </c>
      <c r="M779">
        <v>139873.17000000001</v>
      </c>
      <c r="N779">
        <f t="shared" si="13"/>
        <v>526.82999999998719</v>
      </c>
      <c r="O779" t="s">
        <v>23</v>
      </c>
      <c r="P779" t="s">
        <v>31</v>
      </c>
      <c r="Q779" t="s">
        <v>32</v>
      </c>
    </row>
    <row r="780" spans="1:17" x14ac:dyDescent="0.3">
      <c r="A780" t="s">
        <v>858</v>
      </c>
      <c r="B780" s="1">
        <v>45408</v>
      </c>
      <c r="C780" t="s">
        <v>49</v>
      </c>
      <c r="D780" t="s">
        <v>92</v>
      </c>
      <c r="E780" t="s">
        <v>100</v>
      </c>
      <c r="F780" t="s">
        <v>46</v>
      </c>
      <c r="G780" t="s">
        <v>55</v>
      </c>
      <c r="H780">
        <v>2500</v>
      </c>
      <c r="I780">
        <v>5</v>
      </c>
      <c r="J780">
        <v>5</v>
      </c>
      <c r="K780">
        <v>25</v>
      </c>
      <c r="L780">
        <v>11875</v>
      </c>
      <c r="M780">
        <v>11437.2</v>
      </c>
      <c r="N780">
        <f t="shared" si="13"/>
        <v>437.79999999999927</v>
      </c>
      <c r="O780" t="s">
        <v>38</v>
      </c>
      <c r="P780" t="s">
        <v>31</v>
      </c>
      <c r="Q780" t="s">
        <v>39</v>
      </c>
    </row>
    <row r="781" spans="1:17" x14ac:dyDescent="0.3">
      <c r="A781" t="s">
        <v>859</v>
      </c>
      <c r="B781" s="1">
        <v>45326</v>
      </c>
      <c r="C781" t="s">
        <v>53</v>
      </c>
      <c r="D781" t="s">
        <v>27</v>
      </c>
      <c r="E781" t="s">
        <v>71</v>
      </c>
      <c r="F781" t="s">
        <v>21</v>
      </c>
      <c r="G781" t="s">
        <v>72</v>
      </c>
      <c r="H781">
        <v>60000</v>
      </c>
      <c r="I781">
        <v>11</v>
      </c>
      <c r="J781">
        <v>15</v>
      </c>
      <c r="K781">
        <v>5</v>
      </c>
      <c r="L781">
        <v>561000</v>
      </c>
      <c r="M781">
        <v>518229.66</v>
      </c>
      <c r="N781">
        <f t="shared" si="13"/>
        <v>42770.340000000026</v>
      </c>
      <c r="O781" t="s">
        <v>23</v>
      </c>
      <c r="P781" t="s">
        <v>31</v>
      </c>
      <c r="Q781" t="s">
        <v>32</v>
      </c>
    </row>
    <row r="782" spans="1:17" x14ac:dyDescent="0.3">
      <c r="A782" t="s">
        <v>860</v>
      </c>
      <c r="B782" s="1">
        <v>45444</v>
      </c>
      <c r="C782" t="s">
        <v>49</v>
      </c>
      <c r="D782" t="s">
        <v>19</v>
      </c>
      <c r="E782" t="s">
        <v>140</v>
      </c>
      <c r="F782" t="s">
        <v>141</v>
      </c>
      <c r="G782" t="s">
        <v>142</v>
      </c>
      <c r="H782">
        <v>12000</v>
      </c>
      <c r="I782">
        <v>12</v>
      </c>
      <c r="J782">
        <v>10</v>
      </c>
      <c r="K782">
        <v>20</v>
      </c>
      <c r="L782">
        <v>129600</v>
      </c>
      <c r="M782">
        <v>128745.51</v>
      </c>
      <c r="N782">
        <f t="shared" si="13"/>
        <v>854.49000000000524</v>
      </c>
      <c r="O782" t="s">
        <v>38</v>
      </c>
      <c r="P782" t="s">
        <v>31</v>
      </c>
      <c r="Q782" t="s">
        <v>39</v>
      </c>
    </row>
    <row r="783" spans="1:17" x14ac:dyDescent="0.3">
      <c r="A783" t="s">
        <v>861</v>
      </c>
      <c r="B783" s="1">
        <v>45387</v>
      </c>
      <c r="C783" t="s">
        <v>53</v>
      </c>
      <c r="D783" t="s">
        <v>35</v>
      </c>
      <c r="E783" t="s">
        <v>140</v>
      </c>
      <c r="F783" t="s">
        <v>141</v>
      </c>
      <c r="G783" t="s">
        <v>142</v>
      </c>
      <c r="H783">
        <v>12000</v>
      </c>
      <c r="I783">
        <v>2</v>
      </c>
      <c r="J783">
        <v>15</v>
      </c>
      <c r="K783">
        <v>0</v>
      </c>
      <c r="L783">
        <v>20400</v>
      </c>
      <c r="M783">
        <v>19326.580000000002</v>
      </c>
      <c r="N783">
        <f t="shared" si="13"/>
        <v>1073.4199999999983</v>
      </c>
      <c r="O783" t="s">
        <v>23</v>
      </c>
      <c r="P783" t="s">
        <v>31</v>
      </c>
      <c r="Q783" t="s">
        <v>32</v>
      </c>
    </row>
    <row r="784" spans="1:17" x14ac:dyDescent="0.3">
      <c r="A784" t="s">
        <v>862</v>
      </c>
      <c r="B784" s="1">
        <v>45320</v>
      </c>
      <c r="C784" t="s">
        <v>34</v>
      </c>
      <c r="D784" t="s">
        <v>92</v>
      </c>
      <c r="E784" t="s">
        <v>57</v>
      </c>
      <c r="F784" t="s">
        <v>46</v>
      </c>
      <c r="G784" t="s">
        <v>58</v>
      </c>
      <c r="H784">
        <v>18000</v>
      </c>
      <c r="I784">
        <v>15</v>
      </c>
      <c r="J784">
        <v>10</v>
      </c>
      <c r="K784">
        <v>0</v>
      </c>
      <c r="L784">
        <v>243000</v>
      </c>
      <c r="M784">
        <v>211903.38</v>
      </c>
      <c r="N784">
        <f t="shared" si="13"/>
        <v>31096.619999999995</v>
      </c>
      <c r="O784" t="s">
        <v>23</v>
      </c>
      <c r="P784" t="s">
        <v>31</v>
      </c>
      <c r="Q784" t="s">
        <v>32</v>
      </c>
    </row>
    <row r="785" spans="1:17" x14ac:dyDescent="0.3">
      <c r="A785" t="s">
        <v>863</v>
      </c>
      <c r="B785" s="1">
        <v>45430</v>
      </c>
      <c r="C785" t="s">
        <v>18</v>
      </c>
      <c r="D785" t="s">
        <v>41</v>
      </c>
      <c r="E785" t="s">
        <v>67</v>
      </c>
      <c r="F785" t="s">
        <v>29</v>
      </c>
      <c r="G785" t="s">
        <v>68</v>
      </c>
      <c r="H785">
        <v>1200</v>
      </c>
      <c r="I785">
        <v>13</v>
      </c>
      <c r="J785">
        <v>10</v>
      </c>
      <c r="K785">
        <v>0</v>
      </c>
      <c r="L785">
        <v>14040</v>
      </c>
      <c r="M785">
        <v>12620.29</v>
      </c>
      <c r="N785">
        <f t="shared" si="13"/>
        <v>1419.7099999999991</v>
      </c>
      <c r="O785" t="s">
        <v>23</v>
      </c>
      <c r="P785" t="s">
        <v>31</v>
      </c>
      <c r="Q785" t="s">
        <v>32</v>
      </c>
    </row>
    <row r="786" spans="1:17" x14ac:dyDescent="0.3">
      <c r="A786" t="s">
        <v>864</v>
      </c>
      <c r="B786" s="1">
        <v>45387</v>
      </c>
      <c r="C786" t="s">
        <v>18</v>
      </c>
      <c r="D786" t="s">
        <v>35</v>
      </c>
      <c r="E786" t="s">
        <v>54</v>
      </c>
      <c r="F786" t="s">
        <v>46</v>
      </c>
      <c r="G786" t="s">
        <v>55</v>
      </c>
      <c r="H786">
        <v>4500</v>
      </c>
      <c r="I786">
        <v>7</v>
      </c>
      <c r="J786">
        <v>15</v>
      </c>
      <c r="K786">
        <v>10</v>
      </c>
      <c r="L786">
        <v>26775</v>
      </c>
      <c r="M786">
        <v>25249.33</v>
      </c>
      <c r="N786">
        <f t="shared" si="13"/>
        <v>1525.6699999999983</v>
      </c>
      <c r="O786" t="s">
        <v>23</v>
      </c>
      <c r="P786" t="s">
        <v>31</v>
      </c>
      <c r="Q786" t="s">
        <v>32</v>
      </c>
    </row>
    <row r="787" spans="1:17" x14ac:dyDescent="0.3">
      <c r="A787" t="s">
        <v>865</v>
      </c>
      <c r="B787" s="1">
        <v>45410</v>
      </c>
      <c r="C787" t="s">
        <v>53</v>
      </c>
      <c r="D787" t="s">
        <v>19</v>
      </c>
      <c r="E787" t="s">
        <v>100</v>
      </c>
      <c r="F787" t="s">
        <v>46</v>
      </c>
      <c r="G787" t="s">
        <v>55</v>
      </c>
      <c r="H787">
        <v>2500</v>
      </c>
      <c r="I787">
        <v>15</v>
      </c>
      <c r="J787">
        <v>15</v>
      </c>
      <c r="K787">
        <v>0</v>
      </c>
      <c r="L787">
        <v>31875</v>
      </c>
      <c r="M787">
        <v>29998.79</v>
      </c>
      <c r="N787">
        <f t="shared" si="13"/>
        <v>1876.2099999999991</v>
      </c>
      <c r="O787" t="s">
        <v>23</v>
      </c>
      <c r="P787" t="s">
        <v>31</v>
      </c>
      <c r="Q787" t="s">
        <v>32</v>
      </c>
    </row>
    <row r="788" spans="1:17" x14ac:dyDescent="0.3">
      <c r="A788" t="s">
        <v>866</v>
      </c>
      <c r="B788" s="1">
        <v>45328</v>
      </c>
      <c r="C788" t="s">
        <v>53</v>
      </c>
      <c r="D788" t="s">
        <v>27</v>
      </c>
      <c r="E788" t="s">
        <v>107</v>
      </c>
      <c r="F788" t="s">
        <v>108</v>
      </c>
      <c r="G788" t="s">
        <v>109</v>
      </c>
      <c r="H788">
        <v>18000</v>
      </c>
      <c r="I788">
        <v>14</v>
      </c>
      <c r="J788">
        <v>15</v>
      </c>
      <c r="K788">
        <v>25</v>
      </c>
      <c r="L788">
        <v>214200</v>
      </c>
      <c r="M788">
        <v>216527.93</v>
      </c>
      <c r="N788">
        <f t="shared" si="13"/>
        <v>-2327.929999999993</v>
      </c>
      <c r="O788" t="s">
        <v>38</v>
      </c>
      <c r="P788" t="s">
        <v>24</v>
      </c>
      <c r="Q788" t="s">
        <v>39</v>
      </c>
    </row>
    <row r="789" spans="1:17" x14ac:dyDescent="0.3">
      <c r="A789" t="s">
        <v>867</v>
      </c>
      <c r="B789" s="1">
        <v>45436</v>
      </c>
      <c r="C789" t="s">
        <v>18</v>
      </c>
      <c r="D789" t="s">
        <v>70</v>
      </c>
      <c r="E789" t="s">
        <v>42</v>
      </c>
      <c r="F789" t="s">
        <v>29</v>
      </c>
      <c r="G789" t="s">
        <v>43</v>
      </c>
      <c r="H789">
        <v>500</v>
      </c>
      <c r="I789">
        <v>14</v>
      </c>
      <c r="J789">
        <v>5</v>
      </c>
      <c r="K789">
        <v>10</v>
      </c>
      <c r="L789">
        <v>6650</v>
      </c>
      <c r="M789">
        <v>6154.02</v>
      </c>
      <c r="N789">
        <f t="shared" si="13"/>
        <v>495.97999999999956</v>
      </c>
      <c r="O789" t="s">
        <v>38</v>
      </c>
      <c r="P789" t="s">
        <v>31</v>
      </c>
      <c r="Q789" t="s">
        <v>39</v>
      </c>
    </row>
    <row r="790" spans="1:17" x14ac:dyDescent="0.3">
      <c r="A790" t="s">
        <v>868</v>
      </c>
      <c r="B790" s="1">
        <v>45292</v>
      </c>
      <c r="C790" t="s">
        <v>53</v>
      </c>
      <c r="D790" t="s">
        <v>92</v>
      </c>
      <c r="E790" t="s">
        <v>28</v>
      </c>
      <c r="F790" t="s">
        <v>29</v>
      </c>
      <c r="G790" t="s">
        <v>30</v>
      </c>
      <c r="H790">
        <v>1800</v>
      </c>
      <c r="I790">
        <v>15</v>
      </c>
      <c r="J790">
        <v>5</v>
      </c>
      <c r="K790">
        <v>15</v>
      </c>
      <c r="L790">
        <v>25650</v>
      </c>
      <c r="M790">
        <v>26718.75</v>
      </c>
      <c r="N790">
        <f t="shared" si="13"/>
        <v>-1068.75</v>
      </c>
      <c r="O790" t="s">
        <v>38</v>
      </c>
      <c r="P790" t="s">
        <v>24</v>
      </c>
      <c r="Q790" t="s">
        <v>39</v>
      </c>
    </row>
    <row r="791" spans="1:17" x14ac:dyDescent="0.3">
      <c r="A791" t="s">
        <v>869</v>
      </c>
      <c r="B791" s="1">
        <v>45462</v>
      </c>
      <c r="C791" t="s">
        <v>53</v>
      </c>
      <c r="D791" t="s">
        <v>35</v>
      </c>
      <c r="E791" t="s">
        <v>61</v>
      </c>
      <c r="F791" t="s">
        <v>29</v>
      </c>
      <c r="G791" t="s">
        <v>43</v>
      </c>
      <c r="H791">
        <v>2800</v>
      </c>
      <c r="I791">
        <v>7</v>
      </c>
      <c r="J791">
        <v>15</v>
      </c>
      <c r="K791">
        <v>10</v>
      </c>
      <c r="L791">
        <v>16660</v>
      </c>
      <c r="M791">
        <v>14568.11</v>
      </c>
      <c r="N791">
        <f t="shared" si="13"/>
        <v>2091.8899999999994</v>
      </c>
      <c r="O791" t="s">
        <v>23</v>
      </c>
      <c r="P791" t="s">
        <v>31</v>
      </c>
      <c r="Q791" t="s">
        <v>32</v>
      </c>
    </row>
    <row r="792" spans="1:17" x14ac:dyDescent="0.3">
      <c r="A792" t="s">
        <v>870</v>
      </c>
      <c r="B792" s="1">
        <v>45351</v>
      </c>
      <c r="C792" t="s">
        <v>53</v>
      </c>
      <c r="D792" t="s">
        <v>92</v>
      </c>
      <c r="E792" t="s">
        <v>61</v>
      </c>
      <c r="F792" t="s">
        <v>29</v>
      </c>
      <c r="G792" t="s">
        <v>43</v>
      </c>
      <c r="H792">
        <v>2800</v>
      </c>
      <c r="I792">
        <v>6</v>
      </c>
      <c r="J792">
        <v>15</v>
      </c>
      <c r="K792">
        <v>0</v>
      </c>
      <c r="L792">
        <v>14280</v>
      </c>
      <c r="M792">
        <v>12305.2</v>
      </c>
      <c r="N792">
        <f t="shared" si="13"/>
        <v>1974.7999999999993</v>
      </c>
      <c r="O792" t="s">
        <v>23</v>
      </c>
      <c r="P792" t="s">
        <v>31</v>
      </c>
      <c r="Q792" t="s">
        <v>32</v>
      </c>
    </row>
    <row r="793" spans="1:17" x14ac:dyDescent="0.3">
      <c r="A793" t="s">
        <v>871</v>
      </c>
      <c r="B793" s="1">
        <v>45336</v>
      </c>
      <c r="C793" t="s">
        <v>18</v>
      </c>
      <c r="D793" t="s">
        <v>92</v>
      </c>
      <c r="E793" t="s">
        <v>90</v>
      </c>
      <c r="F793" t="s">
        <v>29</v>
      </c>
      <c r="G793" t="s">
        <v>37</v>
      </c>
      <c r="H793">
        <v>6500</v>
      </c>
      <c r="I793">
        <v>2</v>
      </c>
      <c r="J793">
        <v>15</v>
      </c>
      <c r="K793">
        <v>15</v>
      </c>
      <c r="L793">
        <v>11050</v>
      </c>
      <c r="M793">
        <v>10736.27</v>
      </c>
      <c r="N793">
        <f t="shared" si="13"/>
        <v>313.72999999999956</v>
      </c>
      <c r="O793" t="s">
        <v>23</v>
      </c>
      <c r="P793" t="s">
        <v>31</v>
      </c>
      <c r="Q793" t="s">
        <v>32</v>
      </c>
    </row>
    <row r="794" spans="1:17" x14ac:dyDescent="0.3">
      <c r="A794" t="s">
        <v>872</v>
      </c>
      <c r="B794" s="1">
        <v>45362</v>
      </c>
      <c r="C794" t="s">
        <v>34</v>
      </c>
      <c r="D794" t="s">
        <v>92</v>
      </c>
      <c r="E794" t="s">
        <v>81</v>
      </c>
      <c r="F794" t="s">
        <v>21</v>
      </c>
      <c r="G794" t="s">
        <v>82</v>
      </c>
      <c r="H794">
        <v>8000</v>
      </c>
      <c r="I794">
        <v>6</v>
      </c>
      <c r="J794">
        <v>5</v>
      </c>
      <c r="K794">
        <v>0</v>
      </c>
      <c r="L794">
        <v>45600</v>
      </c>
      <c r="M794">
        <v>42545.25</v>
      </c>
      <c r="N794">
        <f t="shared" si="13"/>
        <v>3054.75</v>
      </c>
      <c r="O794" t="s">
        <v>23</v>
      </c>
      <c r="P794" t="s">
        <v>31</v>
      </c>
      <c r="Q794" t="s">
        <v>32</v>
      </c>
    </row>
    <row r="795" spans="1:17" x14ac:dyDescent="0.3">
      <c r="A795" t="s">
        <v>873</v>
      </c>
      <c r="B795" s="1">
        <v>45437</v>
      </c>
      <c r="C795" t="s">
        <v>18</v>
      </c>
      <c r="D795" t="s">
        <v>41</v>
      </c>
      <c r="E795" t="s">
        <v>104</v>
      </c>
      <c r="F795" t="s">
        <v>29</v>
      </c>
      <c r="G795" t="s">
        <v>30</v>
      </c>
      <c r="H795">
        <v>1200</v>
      </c>
      <c r="I795">
        <v>7</v>
      </c>
      <c r="J795">
        <v>15</v>
      </c>
      <c r="K795">
        <v>25</v>
      </c>
      <c r="L795">
        <v>7140</v>
      </c>
      <c r="M795">
        <v>6318.5</v>
      </c>
      <c r="N795">
        <f t="shared" si="13"/>
        <v>821.5</v>
      </c>
      <c r="O795" t="s">
        <v>38</v>
      </c>
      <c r="P795" t="s">
        <v>31</v>
      </c>
      <c r="Q795" t="s">
        <v>39</v>
      </c>
    </row>
    <row r="796" spans="1:17" x14ac:dyDescent="0.3">
      <c r="A796" t="s">
        <v>874</v>
      </c>
      <c r="B796" s="1">
        <v>45376</v>
      </c>
      <c r="C796" t="s">
        <v>49</v>
      </c>
      <c r="D796" t="s">
        <v>27</v>
      </c>
      <c r="E796" t="s">
        <v>45</v>
      </c>
      <c r="F796" t="s">
        <v>46</v>
      </c>
      <c r="G796" t="s">
        <v>47</v>
      </c>
      <c r="H796">
        <v>15000</v>
      </c>
      <c r="I796">
        <v>13</v>
      </c>
      <c r="J796">
        <v>5</v>
      </c>
      <c r="K796">
        <v>25</v>
      </c>
      <c r="L796">
        <v>185250</v>
      </c>
      <c r="M796">
        <v>177143.6</v>
      </c>
      <c r="N796">
        <f t="shared" si="13"/>
        <v>8106.3999999999942</v>
      </c>
      <c r="O796" t="s">
        <v>38</v>
      </c>
      <c r="P796" t="s">
        <v>31</v>
      </c>
      <c r="Q796" t="s">
        <v>39</v>
      </c>
    </row>
    <row r="797" spans="1:17" x14ac:dyDescent="0.3">
      <c r="A797" t="s">
        <v>875</v>
      </c>
      <c r="B797" s="1">
        <v>45395</v>
      </c>
      <c r="C797" t="s">
        <v>34</v>
      </c>
      <c r="D797" t="s">
        <v>19</v>
      </c>
      <c r="E797" t="s">
        <v>71</v>
      </c>
      <c r="F797" t="s">
        <v>21</v>
      </c>
      <c r="G797" t="s">
        <v>72</v>
      </c>
      <c r="H797">
        <v>60000</v>
      </c>
      <c r="I797">
        <v>3</v>
      </c>
      <c r="J797">
        <v>10</v>
      </c>
      <c r="K797">
        <v>5</v>
      </c>
      <c r="L797">
        <v>162000</v>
      </c>
      <c r="M797">
        <v>155349.51</v>
      </c>
      <c r="N797">
        <f t="shared" si="13"/>
        <v>6650.4899999999907</v>
      </c>
      <c r="O797" t="s">
        <v>23</v>
      </c>
      <c r="P797" t="s">
        <v>31</v>
      </c>
      <c r="Q797" t="s">
        <v>32</v>
      </c>
    </row>
    <row r="798" spans="1:17" x14ac:dyDescent="0.3">
      <c r="A798" t="s">
        <v>876</v>
      </c>
      <c r="B798" s="1">
        <v>45391</v>
      </c>
      <c r="C798" t="s">
        <v>18</v>
      </c>
      <c r="D798" t="s">
        <v>35</v>
      </c>
      <c r="E798" t="s">
        <v>71</v>
      </c>
      <c r="F798" t="s">
        <v>21</v>
      </c>
      <c r="G798" t="s">
        <v>72</v>
      </c>
      <c r="H798">
        <v>60000</v>
      </c>
      <c r="I798">
        <v>2</v>
      </c>
      <c r="J798">
        <v>15</v>
      </c>
      <c r="K798">
        <v>15</v>
      </c>
      <c r="L798">
        <v>102000</v>
      </c>
      <c r="M798">
        <v>89756.32</v>
      </c>
      <c r="N798">
        <f t="shared" si="13"/>
        <v>12243.679999999993</v>
      </c>
      <c r="O798" t="s">
        <v>23</v>
      </c>
      <c r="P798" t="s">
        <v>31</v>
      </c>
      <c r="Q798" t="s">
        <v>32</v>
      </c>
    </row>
    <row r="799" spans="1:17" x14ac:dyDescent="0.3">
      <c r="A799" t="s">
        <v>877</v>
      </c>
      <c r="B799" s="1">
        <v>45345</v>
      </c>
      <c r="C799" t="s">
        <v>34</v>
      </c>
      <c r="D799" t="s">
        <v>35</v>
      </c>
      <c r="E799" t="s">
        <v>81</v>
      </c>
      <c r="F799" t="s">
        <v>21</v>
      </c>
      <c r="G799" t="s">
        <v>82</v>
      </c>
      <c r="H799">
        <v>8000</v>
      </c>
      <c r="I799">
        <v>8</v>
      </c>
      <c r="J799">
        <v>15</v>
      </c>
      <c r="K799">
        <v>15</v>
      </c>
      <c r="L799">
        <v>54400</v>
      </c>
      <c r="M799">
        <v>51457.08</v>
      </c>
      <c r="N799">
        <f t="shared" si="13"/>
        <v>2942.9199999999983</v>
      </c>
      <c r="O799" t="s">
        <v>23</v>
      </c>
      <c r="P799" t="s">
        <v>31</v>
      </c>
      <c r="Q799" t="s">
        <v>32</v>
      </c>
    </row>
    <row r="800" spans="1:17" x14ac:dyDescent="0.3">
      <c r="A800" t="s">
        <v>878</v>
      </c>
      <c r="B800" s="1">
        <v>45447</v>
      </c>
      <c r="C800" t="s">
        <v>49</v>
      </c>
      <c r="D800" t="s">
        <v>27</v>
      </c>
      <c r="E800" t="s">
        <v>50</v>
      </c>
      <c r="F800" t="s">
        <v>21</v>
      </c>
      <c r="G800" t="s">
        <v>51</v>
      </c>
      <c r="H800">
        <v>4500</v>
      </c>
      <c r="I800">
        <v>15</v>
      </c>
      <c r="J800">
        <v>15</v>
      </c>
      <c r="K800">
        <v>20</v>
      </c>
      <c r="L800">
        <v>57375</v>
      </c>
      <c r="M800">
        <v>51988.07</v>
      </c>
      <c r="N800">
        <f t="shared" si="13"/>
        <v>5386.93</v>
      </c>
      <c r="O800" t="s">
        <v>38</v>
      </c>
      <c r="P800" t="s">
        <v>31</v>
      </c>
      <c r="Q800" t="s">
        <v>39</v>
      </c>
    </row>
    <row r="801" spans="1:17" x14ac:dyDescent="0.3">
      <c r="A801" t="s">
        <v>879</v>
      </c>
      <c r="B801" s="1">
        <v>45306</v>
      </c>
      <c r="C801" t="s">
        <v>18</v>
      </c>
      <c r="D801" t="s">
        <v>92</v>
      </c>
      <c r="E801" t="s">
        <v>104</v>
      </c>
      <c r="F801" t="s">
        <v>29</v>
      </c>
      <c r="G801" t="s">
        <v>30</v>
      </c>
      <c r="H801">
        <v>1200</v>
      </c>
      <c r="I801">
        <v>5</v>
      </c>
      <c r="J801">
        <v>5</v>
      </c>
      <c r="K801">
        <v>5</v>
      </c>
      <c r="L801">
        <v>5700</v>
      </c>
      <c r="M801">
        <v>5871.53</v>
      </c>
      <c r="N801">
        <f t="shared" si="13"/>
        <v>-171.52999999999975</v>
      </c>
      <c r="O801" t="s">
        <v>23</v>
      </c>
      <c r="P801" t="s">
        <v>24</v>
      </c>
      <c r="Q801" t="s">
        <v>25</v>
      </c>
    </row>
    <row r="802" spans="1:17" x14ac:dyDescent="0.3">
      <c r="A802" t="s">
        <v>880</v>
      </c>
      <c r="B802" s="1">
        <v>45466</v>
      </c>
      <c r="C802" t="s">
        <v>18</v>
      </c>
      <c r="D802" t="s">
        <v>92</v>
      </c>
      <c r="E802" t="s">
        <v>75</v>
      </c>
      <c r="F802" t="s">
        <v>76</v>
      </c>
      <c r="G802" t="s">
        <v>77</v>
      </c>
      <c r="H802">
        <v>8000</v>
      </c>
      <c r="I802">
        <v>2</v>
      </c>
      <c r="J802">
        <v>5</v>
      </c>
      <c r="K802">
        <v>15</v>
      </c>
      <c r="L802">
        <v>15200</v>
      </c>
      <c r="M802">
        <v>15226.86</v>
      </c>
      <c r="N802">
        <f t="shared" si="13"/>
        <v>-26.860000000000582</v>
      </c>
      <c r="O802" t="s">
        <v>38</v>
      </c>
      <c r="P802" t="s">
        <v>24</v>
      </c>
      <c r="Q802" t="s">
        <v>39</v>
      </c>
    </row>
    <row r="803" spans="1:17" x14ac:dyDescent="0.3">
      <c r="A803" t="s">
        <v>881</v>
      </c>
      <c r="B803" s="1">
        <v>45434</v>
      </c>
      <c r="C803" t="s">
        <v>34</v>
      </c>
      <c r="D803" t="s">
        <v>27</v>
      </c>
      <c r="E803" t="s">
        <v>102</v>
      </c>
      <c r="F803" t="s">
        <v>29</v>
      </c>
      <c r="G803" t="s">
        <v>43</v>
      </c>
      <c r="H803">
        <v>1500</v>
      </c>
      <c r="I803">
        <v>8</v>
      </c>
      <c r="J803">
        <v>15</v>
      </c>
      <c r="K803">
        <v>15</v>
      </c>
      <c r="L803">
        <v>10200</v>
      </c>
      <c r="M803">
        <v>9457.86</v>
      </c>
      <c r="N803">
        <f t="shared" si="13"/>
        <v>742.13999999999942</v>
      </c>
      <c r="O803" t="s">
        <v>23</v>
      </c>
      <c r="P803" t="s">
        <v>31</v>
      </c>
      <c r="Q803" t="s">
        <v>32</v>
      </c>
    </row>
    <row r="804" spans="1:17" x14ac:dyDescent="0.3">
      <c r="A804" t="s">
        <v>882</v>
      </c>
      <c r="B804" s="1">
        <v>45450</v>
      </c>
      <c r="C804" t="s">
        <v>53</v>
      </c>
      <c r="D804" t="s">
        <v>41</v>
      </c>
      <c r="E804" t="s">
        <v>140</v>
      </c>
      <c r="F804" t="s">
        <v>141</v>
      </c>
      <c r="G804" t="s">
        <v>142</v>
      </c>
      <c r="H804">
        <v>12000</v>
      </c>
      <c r="I804">
        <v>6</v>
      </c>
      <c r="J804">
        <v>15</v>
      </c>
      <c r="K804">
        <v>10</v>
      </c>
      <c r="L804">
        <v>61200</v>
      </c>
      <c r="M804">
        <v>54441.86</v>
      </c>
      <c r="N804">
        <f t="shared" si="13"/>
        <v>6758.1399999999994</v>
      </c>
      <c r="O804" t="s">
        <v>23</v>
      </c>
      <c r="P804" t="s">
        <v>31</v>
      </c>
      <c r="Q804" t="s">
        <v>32</v>
      </c>
    </row>
    <row r="805" spans="1:17" x14ac:dyDescent="0.3">
      <c r="A805" t="s">
        <v>883</v>
      </c>
      <c r="B805" s="1">
        <v>45420</v>
      </c>
      <c r="C805" t="s">
        <v>49</v>
      </c>
      <c r="D805" t="s">
        <v>27</v>
      </c>
      <c r="E805" t="s">
        <v>151</v>
      </c>
      <c r="F805" t="s">
        <v>141</v>
      </c>
      <c r="G805" t="s">
        <v>142</v>
      </c>
      <c r="H805">
        <v>3500</v>
      </c>
      <c r="I805">
        <v>8</v>
      </c>
      <c r="J805">
        <v>5</v>
      </c>
      <c r="K805">
        <v>5</v>
      </c>
      <c r="L805">
        <v>26600</v>
      </c>
      <c r="M805">
        <v>26190.09</v>
      </c>
      <c r="N805">
        <f t="shared" si="13"/>
        <v>409.90999999999985</v>
      </c>
      <c r="O805" t="s">
        <v>23</v>
      </c>
      <c r="P805" t="s">
        <v>31</v>
      </c>
      <c r="Q805" t="s">
        <v>32</v>
      </c>
    </row>
    <row r="806" spans="1:17" x14ac:dyDescent="0.3">
      <c r="A806" t="s">
        <v>884</v>
      </c>
      <c r="B806" s="1">
        <v>45400</v>
      </c>
      <c r="C806" t="s">
        <v>34</v>
      </c>
      <c r="D806" t="s">
        <v>19</v>
      </c>
      <c r="E806" t="s">
        <v>100</v>
      </c>
      <c r="F806" t="s">
        <v>46</v>
      </c>
      <c r="G806" t="s">
        <v>55</v>
      </c>
      <c r="H806">
        <v>2500</v>
      </c>
      <c r="I806">
        <v>2</v>
      </c>
      <c r="J806">
        <v>5</v>
      </c>
      <c r="K806">
        <v>0</v>
      </c>
      <c r="L806">
        <v>4750</v>
      </c>
      <c r="M806">
        <v>4661.29</v>
      </c>
      <c r="N806">
        <f t="shared" si="13"/>
        <v>88.710000000000036</v>
      </c>
      <c r="O806" t="s">
        <v>23</v>
      </c>
      <c r="P806" t="s">
        <v>31</v>
      </c>
      <c r="Q806" t="s">
        <v>32</v>
      </c>
    </row>
    <row r="807" spans="1:17" x14ac:dyDescent="0.3">
      <c r="A807" t="s">
        <v>885</v>
      </c>
      <c r="B807" s="1">
        <v>45307</v>
      </c>
      <c r="C807" t="s">
        <v>34</v>
      </c>
      <c r="D807" t="s">
        <v>27</v>
      </c>
      <c r="E807" t="s">
        <v>90</v>
      </c>
      <c r="F807" t="s">
        <v>29</v>
      </c>
      <c r="G807" t="s">
        <v>37</v>
      </c>
      <c r="H807">
        <v>6500</v>
      </c>
      <c r="I807">
        <v>6</v>
      </c>
      <c r="J807">
        <v>15</v>
      </c>
      <c r="K807">
        <v>25</v>
      </c>
      <c r="L807">
        <v>33150</v>
      </c>
      <c r="M807">
        <v>30659.3</v>
      </c>
      <c r="N807">
        <f t="shared" si="13"/>
        <v>2490.7000000000007</v>
      </c>
      <c r="O807" t="s">
        <v>38</v>
      </c>
      <c r="P807" t="s">
        <v>31</v>
      </c>
      <c r="Q807" t="s">
        <v>39</v>
      </c>
    </row>
    <row r="808" spans="1:17" x14ac:dyDescent="0.3">
      <c r="A808" t="s">
        <v>886</v>
      </c>
      <c r="B808" s="1">
        <v>45369</v>
      </c>
      <c r="C808" t="s">
        <v>53</v>
      </c>
      <c r="D808" t="s">
        <v>35</v>
      </c>
      <c r="E808" t="s">
        <v>28</v>
      </c>
      <c r="F808" t="s">
        <v>29</v>
      </c>
      <c r="G808" t="s">
        <v>30</v>
      </c>
      <c r="H808">
        <v>1800</v>
      </c>
      <c r="I808">
        <v>12</v>
      </c>
      <c r="J808">
        <v>10</v>
      </c>
      <c r="K808">
        <v>25</v>
      </c>
      <c r="L808">
        <v>19440</v>
      </c>
      <c r="M808">
        <v>18735.169999999998</v>
      </c>
      <c r="N808">
        <f t="shared" si="13"/>
        <v>704.83000000000175</v>
      </c>
      <c r="O808" t="s">
        <v>38</v>
      </c>
      <c r="P808" t="s">
        <v>31</v>
      </c>
      <c r="Q808" t="s">
        <v>39</v>
      </c>
    </row>
    <row r="809" spans="1:17" x14ac:dyDescent="0.3">
      <c r="A809" t="s">
        <v>887</v>
      </c>
      <c r="B809" s="1">
        <v>45382</v>
      </c>
      <c r="C809" t="s">
        <v>53</v>
      </c>
      <c r="D809" t="s">
        <v>70</v>
      </c>
      <c r="E809" t="s">
        <v>67</v>
      </c>
      <c r="F809" t="s">
        <v>29</v>
      </c>
      <c r="G809" t="s">
        <v>68</v>
      </c>
      <c r="H809">
        <v>1200</v>
      </c>
      <c r="I809">
        <v>1</v>
      </c>
      <c r="J809">
        <v>15</v>
      </c>
      <c r="K809">
        <v>5</v>
      </c>
      <c r="L809">
        <v>1020</v>
      </c>
      <c r="M809">
        <v>897.53</v>
      </c>
      <c r="N809">
        <f t="shared" si="13"/>
        <v>122.47000000000003</v>
      </c>
      <c r="O809" t="s">
        <v>23</v>
      </c>
      <c r="P809" t="s">
        <v>31</v>
      </c>
      <c r="Q809" t="s">
        <v>32</v>
      </c>
    </row>
    <row r="810" spans="1:17" x14ac:dyDescent="0.3">
      <c r="A810" t="s">
        <v>888</v>
      </c>
      <c r="B810" s="1">
        <v>45350</v>
      </c>
      <c r="C810" t="s">
        <v>18</v>
      </c>
      <c r="D810" t="s">
        <v>27</v>
      </c>
      <c r="E810" t="s">
        <v>81</v>
      </c>
      <c r="F810" t="s">
        <v>21</v>
      </c>
      <c r="G810" t="s">
        <v>82</v>
      </c>
      <c r="H810">
        <v>8000</v>
      </c>
      <c r="I810">
        <v>4</v>
      </c>
      <c r="J810">
        <v>10</v>
      </c>
      <c r="K810">
        <v>25</v>
      </c>
      <c r="L810">
        <v>28800</v>
      </c>
      <c r="M810">
        <v>25518.51</v>
      </c>
      <c r="N810">
        <f t="shared" si="13"/>
        <v>3281.4900000000016</v>
      </c>
      <c r="O810" t="s">
        <v>38</v>
      </c>
      <c r="P810" t="s">
        <v>31</v>
      </c>
      <c r="Q810" t="s">
        <v>39</v>
      </c>
    </row>
    <row r="811" spans="1:17" x14ac:dyDescent="0.3">
      <c r="A811" t="s">
        <v>889</v>
      </c>
      <c r="B811" s="1">
        <v>45470</v>
      </c>
      <c r="C811" t="s">
        <v>53</v>
      </c>
      <c r="D811" t="s">
        <v>35</v>
      </c>
      <c r="E811" t="s">
        <v>140</v>
      </c>
      <c r="F811" t="s">
        <v>141</v>
      </c>
      <c r="G811" t="s">
        <v>142</v>
      </c>
      <c r="H811">
        <v>12000</v>
      </c>
      <c r="I811">
        <v>6</v>
      </c>
      <c r="J811">
        <v>5</v>
      </c>
      <c r="K811">
        <v>25</v>
      </c>
      <c r="L811">
        <v>68400</v>
      </c>
      <c r="M811">
        <v>63878.79</v>
      </c>
      <c r="N811">
        <f t="shared" si="13"/>
        <v>4521.2099999999991</v>
      </c>
      <c r="O811" t="s">
        <v>38</v>
      </c>
      <c r="P811" t="s">
        <v>31</v>
      </c>
      <c r="Q811" t="s">
        <v>39</v>
      </c>
    </row>
    <row r="812" spans="1:17" x14ac:dyDescent="0.3">
      <c r="A812" t="s">
        <v>890</v>
      </c>
      <c r="B812" s="1">
        <v>45344</v>
      </c>
      <c r="C812" t="s">
        <v>49</v>
      </c>
      <c r="D812" t="s">
        <v>41</v>
      </c>
      <c r="E812" t="s">
        <v>151</v>
      </c>
      <c r="F812" t="s">
        <v>141</v>
      </c>
      <c r="G812" t="s">
        <v>142</v>
      </c>
      <c r="H812">
        <v>3500</v>
      </c>
      <c r="I812">
        <v>9</v>
      </c>
      <c r="J812">
        <v>5</v>
      </c>
      <c r="K812">
        <v>20</v>
      </c>
      <c r="L812">
        <v>29925</v>
      </c>
      <c r="M812">
        <v>28837.84</v>
      </c>
      <c r="N812">
        <f t="shared" si="13"/>
        <v>1087.1599999999999</v>
      </c>
      <c r="O812" t="s">
        <v>38</v>
      </c>
      <c r="P812" t="s">
        <v>31</v>
      </c>
      <c r="Q812" t="s">
        <v>39</v>
      </c>
    </row>
    <row r="813" spans="1:17" x14ac:dyDescent="0.3">
      <c r="A813" t="s">
        <v>891</v>
      </c>
      <c r="B813" s="1">
        <v>45306</v>
      </c>
      <c r="C813" t="s">
        <v>34</v>
      </c>
      <c r="D813" t="s">
        <v>27</v>
      </c>
      <c r="E813" t="s">
        <v>63</v>
      </c>
      <c r="F813" t="s">
        <v>64</v>
      </c>
      <c r="G813" t="s">
        <v>65</v>
      </c>
      <c r="H813">
        <v>4000</v>
      </c>
      <c r="I813">
        <v>9</v>
      </c>
      <c r="J813">
        <v>10</v>
      </c>
      <c r="K813">
        <v>25</v>
      </c>
      <c r="L813">
        <v>32400</v>
      </c>
      <c r="M813">
        <v>27713.47</v>
      </c>
      <c r="N813">
        <f t="shared" si="13"/>
        <v>4686.5299999999988</v>
      </c>
      <c r="O813" t="s">
        <v>38</v>
      </c>
      <c r="P813" t="s">
        <v>31</v>
      </c>
      <c r="Q813" t="s">
        <v>39</v>
      </c>
    </row>
    <row r="814" spans="1:17" x14ac:dyDescent="0.3">
      <c r="A814" t="s">
        <v>892</v>
      </c>
      <c r="B814" s="1">
        <v>45357</v>
      </c>
      <c r="C814" t="s">
        <v>34</v>
      </c>
      <c r="D814" t="s">
        <v>27</v>
      </c>
      <c r="E814" t="s">
        <v>63</v>
      </c>
      <c r="F814" t="s">
        <v>64</v>
      </c>
      <c r="G814" t="s">
        <v>65</v>
      </c>
      <c r="H814">
        <v>4000</v>
      </c>
      <c r="I814">
        <v>14</v>
      </c>
      <c r="J814">
        <v>10</v>
      </c>
      <c r="K814">
        <v>0</v>
      </c>
      <c r="L814">
        <v>50400</v>
      </c>
      <c r="M814">
        <v>50791.62</v>
      </c>
      <c r="N814">
        <f t="shared" si="13"/>
        <v>-391.62000000000262</v>
      </c>
      <c r="O814" t="s">
        <v>23</v>
      </c>
      <c r="P814" t="s">
        <v>24</v>
      </c>
      <c r="Q814" t="s">
        <v>25</v>
      </c>
    </row>
    <row r="815" spans="1:17" x14ac:dyDescent="0.3">
      <c r="A815" t="s">
        <v>893</v>
      </c>
      <c r="B815" s="1">
        <v>45399</v>
      </c>
      <c r="C815" t="s">
        <v>53</v>
      </c>
      <c r="D815" t="s">
        <v>27</v>
      </c>
      <c r="E815" t="s">
        <v>167</v>
      </c>
      <c r="F815" t="s">
        <v>21</v>
      </c>
      <c r="G815" t="s">
        <v>82</v>
      </c>
      <c r="H815">
        <v>7000</v>
      </c>
      <c r="I815">
        <v>11</v>
      </c>
      <c r="J815">
        <v>10</v>
      </c>
      <c r="K815">
        <v>10</v>
      </c>
      <c r="L815">
        <v>69300</v>
      </c>
      <c r="M815">
        <v>72036.47</v>
      </c>
      <c r="N815">
        <f t="shared" si="13"/>
        <v>-2736.4700000000012</v>
      </c>
      <c r="O815" t="s">
        <v>23</v>
      </c>
      <c r="P815" t="s">
        <v>24</v>
      </c>
      <c r="Q815" t="s">
        <v>25</v>
      </c>
    </row>
    <row r="816" spans="1:17" x14ac:dyDescent="0.3">
      <c r="A816" t="s">
        <v>894</v>
      </c>
      <c r="B816" s="1">
        <v>45327</v>
      </c>
      <c r="C816" t="s">
        <v>53</v>
      </c>
      <c r="D816" t="s">
        <v>35</v>
      </c>
      <c r="E816" t="s">
        <v>140</v>
      </c>
      <c r="F816" t="s">
        <v>141</v>
      </c>
      <c r="G816" t="s">
        <v>142</v>
      </c>
      <c r="H816">
        <v>12000</v>
      </c>
      <c r="I816">
        <v>10</v>
      </c>
      <c r="J816">
        <v>15</v>
      </c>
      <c r="K816">
        <v>20</v>
      </c>
      <c r="L816">
        <v>102000</v>
      </c>
      <c r="M816">
        <v>103200.57</v>
      </c>
      <c r="N816">
        <f t="shared" si="13"/>
        <v>-1200.570000000007</v>
      </c>
      <c r="O816" t="s">
        <v>38</v>
      </c>
      <c r="P816" t="s">
        <v>24</v>
      </c>
      <c r="Q816" t="s">
        <v>39</v>
      </c>
    </row>
    <row r="817" spans="1:17" x14ac:dyDescent="0.3">
      <c r="A817" t="s">
        <v>895</v>
      </c>
      <c r="B817" s="1">
        <v>45369</v>
      </c>
      <c r="C817" t="s">
        <v>49</v>
      </c>
      <c r="D817" t="s">
        <v>70</v>
      </c>
      <c r="E817" t="s">
        <v>67</v>
      </c>
      <c r="F817" t="s">
        <v>29</v>
      </c>
      <c r="G817" t="s">
        <v>68</v>
      </c>
      <c r="H817">
        <v>1200</v>
      </c>
      <c r="I817">
        <v>7</v>
      </c>
      <c r="J817">
        <v>10</v>
      </c>
      <c r="K817">
        <v>5</v>
      </c>
      <c r="L817">
        <v>7560</v>
      </c>
      <c r="M817">
        <v>6775.91</v>
      </c>
      <c r="N817">
        <f t="shared" si="13"/>
        <v>784.09000000000015</v>
      </c>
      <c r="O817" t="s">
        <v>23</v>
      </c>
      <c r="P817" t="s">
        <v>31</v>
      </c>
      <c r="Q817" t="s">
        <v>32</v>
      </c>
    </row>
    <row r="818" spans="1:17" x14ac:dyDescent="0.3">
      <c r="A818" t="s">
        <v>896</v>
      </c>
      <c r="B818" s="1">
        <v>45469</v>
      </c>
      <c r="C818" t="s">
        <v>18</v>
      </c>
      <c r="D818" t="s">
        <v>70</v>
      </c>
      <c r="E818" t="s">
        <v>20</v>
      </c>
      <c r="F818" t="s">
        <v>21</v>
      </c>
      <c r="G818" t="s">
        <v>22</v>
      </c>
      <c r="H818">
        <v>6000</v>
      </c>
      <c r="I818">
        <v>9</v>
      </c>
      <c r="J818">
        <v>15</v>
      </c>
      <c r="K818">
        <v>0</v>
      </c>
      <c r="L818">
        <v>45900</v>
      </c>
      <c r="M818">
        <v>47078.32</v>
      </c>
      <c r="N818">
        <f t="shared" si="13"/>
        <v>-1178.3199999999997</v>
      </c>
      <c r="O818" t="s">
        <v>23</v>
      </c>
      <c r="P818" t="s">
        <v>24</v>
      </c>
      <c r="Q818" t="s">
        <v>25</v>
      </c>
    </row>
    <row r="819" spans="1:17" x14ac:dyDescent="0.3">
      <c r="A819" t="s">
        <v>897</v>
      </c>
      <c r="B819" s="1">
        <v>45356</v>
      </c>
      <c r="C819" t="s">
        <v>49</v>
      </c>
      <c r="D819" t="s">
        <v>27</v>
      </c>
      <c r="E819" t="s">
        <v>104</v>
      </c>
      <c r="F819" t="s">
        <v>29</v>
      </c>
      <c r="G819" t="s">
        <v>30</v>
      </c>
      <c r="H819">
        <v>1200</v>
      </c>
      <c r="I819">
        <v>4</v>
      </c>
      <c r="J819">
        <v>10</v>
      </c>
      <c r="K819">
        <v>20</v>
      </c>
      <c r="L819">
        <v>4320</v>
      </c>
      <c r="M819">
        <v>4449.0200000000004</v>
      </c>
      <c r="N819">
        <f t="shared" si="13"/>
        <v>-129.02000000000044</v>
      </c>
      <c r="O819" t="s">
        <v>38</v>
      </c>
      <c r="P819" t="s">
        <v>24</v>
      </c>
      <c r="Q819" t="s">
        <v>39</v>
      </c>
    </row>
    <row r="820" spans="1:17" x14ac:dyDescent="0.3">
      <c r="A820" t="s">
        <v>898</v>
      </c>
      <c r="B820" s="1">
        <v>45438</v>
      </c>
      <c r="C820" t="s">
        <v>18</v>
      </c>
      <c r="D820" t="s">
        <v>19</v>
      </c>
      <c r="E820" t="s">
        <v>45</v>
      </c>
      <c r="F820" t="s">
        <v>46</v>
      </c>
      <c r="G820" t="s">
        <v>47</v>
      </c>
      <c r="H820">
        <v>15000</v>
      </c>
      <c r="I820">
        <v>3</v>
      </c>
      <c r="J820">
        <v>5</v>
      </c>
      <c r="K820">
        <v>5</v>
      </c>
      <c r="L820">
        <v>42750</v>
      </c>
      <c r="M820">
        <v>36733.54</v>
      </c>
      <c r="N820">
        <f t="shared" si="13"/>
        <v>6016.4599999999991</v>
      </c>
      <c r="O820" t="s">
        <v>23</v>
      </c>
      <c r="P820" t="s">
        <v>31</v>
      </c>
      <c r="Q820" t="s">
        <v>32</v>
      </c>
    </row>
    <row r="821" spans="1:17" x14ac:dyDescent="0.3">
      <c r="A821" t="s">
        <v>899</v>
      </c>
      <c r="B821" s="1">
        <v>45347</v>
      </c>
      <c r="C821" t="s">
        <v>18</v>
      </c>
      <c r="D821" t="s">
        <v>27</v>
      </c>
      <c r="E821" t="s">
        <v>90</v>
      </c>
      <c r="F821" t="s">
        <v>29</v>
      </c>
      <c r="G821" t="s">
        <v>37</v>
      </c>
      <c r="H821">
        <v>6500</v>
      </c>
      <c r="I821">
        <v>15</v>
      </c>
      <c r="J821">
        <v>5</v>
      </c>
      <c r="K821">
        <v>25</v>
      </c>
      <c r="L821">
        <v>92625</v>
      </c>
      <c r="M821">
        <v>78857.91</v>
      </c>
      <c r="N821">
        <f t="shared" si="13"/>
        <v>13767.089999999997</v>
      </c>
      <c r="O821" t="s">
        <v>38</v>
      </c>
      <c r="P821" t="s">
        <v>31</v>
      </c>
      <c r="Q821" t="s">
        <v>39</v>
      </c>
    </row>
    <row r="822" spans="1:17" x14ac:dyDescent="0.3">
      <c r="A822" t="s">
        <v>900</v>
      </c>
      <c r="B822" s="1">
        <v>45415</v>
      </c>
      <c r="C822" t="s">
        <v>49</v>
      </c>
      <c r="D822" t="s">
        <v>27</v>
      </c>
      <c r="E822" t="s">
        <v>57</v>
      </c>
      <c r="F822" t="s">
        <v>46</v>
      </c>
      <c r="G822" t="s">
        <v>58</v>
      </c>
      <c r="H822">
        <v>18000</v>
      </c>
      <c r="I822">
        <v>9</v>
      </c>
      <c r="J822">
        <v>10</v>
      </c>
      <c r="K822">
        <v>20</v>
      </c>
      <c r="L822">
        <v>145800</v>
      </c>
      <c r="M822">
        <v>135359.45000000001</v>
      </c>
      <c r="N822">
        <f t="shared" si="13"/>
        <v>10440.549999999988</v>
      </c>
      <c r="O822" t="s">
        <v>38</v>
      </c>
      <c r="P822" t="s">
        <v>31</v>
      </c>
      <c r="Q822" t="s">
        <v>39</v>
      </c>
    </row>
    <row r="823" spans="1:17" x14ac:dyDescent="0.3">
      <c r="A823" t="s">
        <v>901</v>
      </c>
      <c r="B823" s="1">
        <v>45331</v>
      </c>
      <c r="C823" t="s">
        <v>18</v>
      </c>
      <c r="D823" t="s">
        <v>27</v>
      </c>
      <c r="E823" t="s">
        <v>57</v>
      </c>
      <c r="F823" t="s">
        <v>46</v>
      </c>
      <c r="G823" t="s">
        <v>58</v>
      </c>
      <c r="H823">
        <v>18000</v>
      </c>
      <c r="I823">
        <v>12</v>
      </c>
      <c r="J823">
        <v>10</v>
      </c>
      <c r="K823">
        <v>10</v>
      </c>
      <c r="L823">
        <v>194400</v>
      </c>
      <c r="M823">
        <v>197292.9</v>
      </c>
      <c r="N823">
        <f t="shared" si="13"/>
        <v>-2892.8999999999942</v>
      </c>
      <c r="O823" t="s">
        <v>23</v>
      </c>
      <c r="P823" t="s">
        <v>24</v>
      </c>
      <c r="Q823" t="s">
        <v>25</v>
      </c>
    </row>
    <row r="824" spans="1:17" x14ac:dyDescent="0.3">
      <c r="A824" t="s">
        <v>902</v>
      </c>
      <c r="B824" s="1">
        <v>45368</v>
      </c>
      <c r="C824" t="s">
        <v>49</v>
      </c>
      <c r="D824" t="s">
        <v>92</v>
      </c>
      <c r="E824" t="s">
        <v>140</v>
      </c>
      <c r="F824" t="s">
        <v>141</v>
      </c>
      <c r="G824" t="s">
        <v>142</v>
      </c>
      <c r="H824">
        <v>12000</v>
      </c>
      <c r="I824">
        <v>13</v>
      </c>
      <c r="J824">
        <v>5</v>
      </c>
      <c r="K824">
        <v>15</v>
      </c>
      <c r="L824">
        <v>148200</v>
      </c>
      <c r="M824">
        <v>147556.03</v>
      </c>
      <c r="N824">
        <f t="shared" si="13"/>
        <v>643.97000000000116</v>
      </c>
      <c r="O824" t="s">
        <v>38</v>
      </c>
      <c r="P824" t="s">
        <v>31</v>
      </c>
      <c r="Q824" t="s">
        <v>39</v>
      </c>
    </row>
    <row r="825" spans="1:17" x14ac:dyDescent="0.3">
      <c r="A825" t="s">
        <v>903</v>
      </c>
      <c r="B825" s="1">
        <v>45328</v>
      </c>
      <c r="C825" t="s">
        <v>18</v>
      </c>
      <c r="D825" t="s">
        <v>27</v>
      </c>
      <c r="E825" t="s">
        <v>155</v>
      </c>
      <c r="F825" t="s">
        <v>21</v>
      </c>
      <c r="G825" t="s">
        <v>72</v>
      </c>
      <c r="H825">
        <v>35000</v>
      </c>
      <c r="I825">
        <v>11</v>
      </c>
      <c r="J825">
        <v>10</v>
      </c>
      <c r="K825">
        <v>15</v>
      </c>
      <c r="L825">
        <v>346500</v>
      </c>
      <c r="M825">
        <v>349408.58</v>
      </c>
      <c r="N825">
        <f t="shared" si="13"/>
        <v>-2908.5800000000163</v>
      </c>
      <c r="O825" t="s">
        <v>38</v>
      </c>
      <c r="P825" t="s">
        <v>24</v>
      </c>
      <c r="Q825" t="s">
        <v>39</v>
      </c>
    </row>
    <row r="826" spans="1:17" x14ac:dyDescent="0.3">
      <c r="A826" t="s">
        <v>904</v>
      </c>
      <c r="B826" s="1">
        <v>45380</v>
      </c>
      <c r="C826" t="s">
        <v>18</v>
      </c>
      <c r="D826" t="s">
        <v>35</v>
      </c>
      <c r="E826" t="s">
        <v>102</v>
      </c>
      <c r="F826" t="s">
        <v>29</v>
      </c>
      <c r="G826" t="s">
        <v>43</v>
      </c>
      <c r="H826">
        <v>1500</v>
      </c>
      <c r="I826">
        <v>4</v>
      </c>
      <c r="J826">
        <v>5</v>
      </c>
      <c r="K826">
        <v>0</v>
      </c>
      <c r="L826">
        <v>5700</v>
      </c>
      <c r="M826">
        <v>5705.52</v>
      </c>
      <c r="N826">
        <f t="shared" si="13"/>
        <v>-5.5200000000004366</v>
      </c>
      <c r="O826" t="s">
        <v>23</v>
      </c>
      <c r="P826" t="s">
        <v>24</v>
      </c>
      <c r="Q826" t="s">
        <v>25</v>
      </c>
    </row>
    <row r="827" spans="1:17" x14ac:dyDescent="0.3">
      <c r="A827" t="s">
        <v>905</v>
      </c>
      <c r="B827" s="1">
        <v>45359</v>
      </c>
      <c r="C827" t="s">
        <v>34</v>
      </c>
      <c r="D827" t="s">
        <v>19</v>
      </c>
      <c r="E827" t="s">
        <v>151</v>
      </c>
      <c r="F827" t="s">
        <v>141</v>
      </c>
      <c r="G827" t="s">
        <v>142</v>
      </c>
      <c r="H827">
        <v>3500</v>
      </c>
      <c r="I827">
        <v>6</v>
      </c>
      <c r="J827">
        <v>15</v>
      </c>
      <c r="K827">
        <v>25</v>
      </c>
      <c r="L827">
        <v>17850</v>
      </c>
      <c r="M827">
        <v>18017.939999999999</v>
      </c>
      <c r="N827">
        <f t="shared" si="13"/>
        <v>-167.93999999999869</v>
      </c>
      <c r="O827" t="s">
        <v>38</v>
      </c>
      <c r="P827" t="s">
        <v>24</v>
      </c>
      <c r="Q827" t="s">
        <v>39</v>
      </c>
    </row>
    <row r="828" spans="1:17" x14ac:dyDescent="0.3">
      <c r="A828" t="s">
        <v>906</v>
      </c>
      <c r="B828" s="1">
        <v>45335</v>
      </c>
      <c r="C828" t="s">
        <v>34</v>
      </c>
      <c r="D828" t="s">
        <v>19</v>
      </c>
      <c r="E828" t="s">
        <v>67</v>
      </c>
      <c r="F828" t="s">
        <v>29</v>
      </c>
      <c r="G828" t="s">
        <v>68</v>
      </c>
      <c r="H828">
        <v>1200</v>
      </c>
      <c r="I828">
        <v>12</v>
      </c>
      <c r="J828">
        <v>5</v>
      </c>
      <c r="K828">
        <v>25</v>
      </c>
      <c r="L828">
        <v>13680</v>
      </c>
      <c r="M828">
        <v>12720.8</v>
      </c>
      <c r="N828">
        <f t="shared" si="13"/>
        <v>959.20000000000073</v>
      </c>
      <c r="O828" t="s">
        <v>38</v>
      </c>
      <c r="P828" t="s">
        <v>31</v>
      </c>
      <c r="Q828" t="s">
        <v>39</v>
      </c>
    </row>
    <row r="829" spans="1:17" x14ac:dyDescent="0.3">
      <c r="A829" t="s">
        <v>907</v>
      </c>
      <c r="B829" s="1">
        <v>45360</v>
      </c>
      <c r="C829" t="s">
        <v>49</v>
      </c>
      <c r="D829" t="s">
        <v>35</v>
      </c>
      <c r="E829" t="s">
        <v>63</v>
      </c>
      <c r="F829" t="s">
        <v>64</v>
      </c>
      <c r="G829" t="s">
        <v>65</v>
      </c>
      <c r="H829">
        <v>4000</v>
      </c>
      <c r="I829">
        <v>7</v>
      </c>
      <c r="J829">
        <v>5</v>
      </c>
      <c r="K829">
        <v>5</v>
      </c>
      <c r="L829">
        <v>26600</v>
      </c>
      <c r="M829">
        <v>25416.240000000002</v>
      </c>
      <c r="N829">
        <f t="shared" si="13"/>
        <v>1183.7599999999984</v>
      </c>
      <c r="O829" t="s">
        <v>23</v>
      </c>
      <c r="P829" t="s">
        <v>31</v>
      </c>
      <c r="Q829" t="s">
        <v>32</v>
      </c>
    </row>
    <row r="830" spans="1:17" x14ac:dyDescent="0.3">
      <c r="A830" t="s">
        <v>908</v>
      </c>
      <c r="B830" s="1">
        <v>45467</v>
      </c>
      <c r="C830" t="s">
        <v>18</v>
      </c>
      <c r="D830" t="s">
        <v>70</v>
      </c>
      <c r="E830" t="s">
        <v>67</v>
      </c>
      <c r="F830" t="s">
        <v>29</v>
      </c>
      <c r="G830" t="s">
        <v>68</v>
      </c>
      <c r="H830">
        <v>1200</v>
      </c>
      <c r="I830">
        <v>15</v>
      </c>
      <c r="J830">
        <v>5</v>
      </c>
      <c r="K830">
        <v>25</v>
      </c>
      <c r="L830">
        <v>17100</v>
      </c>
      <c r="M830">
        <v>14877.16</v>
      </c>
      <c r="N830">
        <f t="shared" si="13"/>
        <v>2222.84</v>
      </c>
      <c r="O830" t="s">
        <v>38</v>
      </c>
      <c r="P830" t="s">
        <v>31</v>
      </c>
      <c r="Q830" t="s">
        <v>39</v>
      </c>
    </row>
    <row r="831" spans="1:17" x14ac:dyDescent="0.3">
      <c r="A831" t="s">
        <v>909</v>
      </c>
      <c r="B831" s="1">
        <v>45370</v>
      </c>
      <c r="C831" t="s">
        <v>53</v>
      </c>
      <c r="D831" t="s">
        <v>41</v>
      </c>
      <c r="E831" t="s">
        <v>140</v>
      </c>
      <c r="F831" t="s">
        <v>141</v>
      </c>
      <c r="G831" t="s">
        <v>142</v>
      </c>
      <c r="H831">
        <v>12000</v>
      </c>
      <c r="I831">
        <v>6</v>
      </c>
      <c r="J831">
        <v>15</v>
      </c>
      <c r="K831">
        <v>0</v>
      </c>
      <c r="L831">
        <v>61200</v>
      </c>
      <c r="M831">
        <v>54624.43</v>
      </c>
      <c r="N831">
        <f t="shared" si="13"/>
        <v>6575.57</v>
      </c>
      <c r="O831" t="s">
        <v>23</v>
      </c>
      <c r="P831" t="s">
        <v>31</v>
      </c>
      <c r="Q831" t="s">
        <v>32</v>
      </c>
    </row>
    <row r="832" spans="1:17" x14ac:dyDescent="0.3">
      <c r="A832" t="s">
        <v>910</v>
      </c>
      <c r="B832" s="1">
        <v>45466</v>
      </c>
      <c r="C832" t="s">
        <v>53</v>
      </c>
      <c r="D832" t="s">
        <v>27</v>
      </c>
      <c r="E832" t="s">
        <v>140</v>
      </c>
      <c r="F832" t="s">
        <v>141</v>
      </c>
      <c r="G832" t="s">
        <v>142</v>
      </c>
      <c r="H832">
        <v>12000</v>
      </c>
      <c r="I832">
        <v>13</v>
      </c>
      <c r="J832">
        <v>10</v>
      </c>
      <c r="K832">
        <v>25</v>
      </c>
      <c r="L832">
        <v>140400</v>
      </c>
      <c r="M832">
        <v>142681.84</v>
      </c>
      <c r="N832">
        <f t="shared" si="13"/>
        <v>-2281.8399999999965</v>
      </c>
      <c r="O832" t="s">
        <v>38</v>
      </c>
      <c r="P832" t="s">
        <v>24</v>
      </c>
      <c r="Q832" t="s">
        <v>39</v>
      </c>
    </row>
    <row r="833" spans="1:17" x14ac:dyDescent="0.3">
      <c r="A833" t="s">
        <v>911</v>
      </c>
      <c r="B833" s="1">
        <v>45425</v>
      </c>
      <c r="C833" t="s">
        <v>18</v>
      </c>
      <c r="D833" t="s">
        <v>27</v>
      </c>
      <c r="E833" t="s">
        <v>57</v>
      </c>
      <c r="F833" t="s">
        <v>46</v>
      </c>
      <c r="G833" t="s">
        <v>58</v>
      </c>
      <c r="H833">
        <v>18000</v>
      </c>
      <c r="I833">
        <v>10</v>
      </c>
      <c r="J833">
        <v>5</v>
      </c>
      <c r="K833">
        <v>5</v>
      </c>
      <c r="L833">
        <v>171000</v>
      </c>
      <c r="M833">
        <v>159382.88</v>
      </c>
      <c r="N833">
        <f t="shared" si="13"/>
        <v>11617.119999999995</v>
      </c>
      <c r="O833" t="s">
        <v>23</v>
      </c>
      <c r="P833" t="s">
        <v>31</v>
      </c>
      <c r="Q833" t="s">
        <v>32</v>
      </c>
    </row>
    <row r="834" spans="1:17" x14ac:dyDescent="0.3">
      <c r="A834" t="s">
        <v>912</v>
      </c>
      <c r="B834" s="1">
        <v>45387</v>
      </c>
      <c r="C834" t="s">
        <v>49</v>
      </c>
      <c r="D834" t="s">
        <v>70</v>
      </c>
      <c r="E834" t="s">
        <v>155</v>
      </c>
      <c r="F834" t="s">
        <v>21</v>
      </c>
      <c r="G834" t="s">
        <v>72</v>
      </c>
      <c r="H834">
        <v>35000</v>
      </c>
      <c r="I834">
        <v>14</v>
      </c>
      <c r="J834">
        <v>15</v>
      </c>
      <c r="K834">
        <v>0</v>
      </c>
      <c r="L834">
        <v>416500</v>
      </c>
      <c r="M834">
        <v>392484.93</v>
      </c>
      <c r="N834">
        <f t="shared" si="13"/>
        <v>24015.070000000007</v>
      </c>
      <c r="O834" t="s">
        <v>23</v>
      </c>
      <c r="P834" t="s">
        <v>31</v>
      </c>
      <c r="Q834" t="s">
        <v>32</v>
      </c>
    </row>
    <row r="835" spans="1:17" x14ac:dyDescent="0.3">
      <c r="A835" t="s">
        <v>913</v>
      </c>
      <c r="B835" s="1">
        <v>45330</v>
      </c>
      <c r="C835" t="s">
        <v>49</v>
      </c>
      <c r="D835" t="s">
        <v>19</v>
      </c>
      <c r="E835" t="s">
        <v>28</v>
      </c>
      <c r="F835" t="s">
        <v>29</v>
      </c>
      <c r="G835" t="s">
        <v>30</v>
      </c>
      <c r="H835">
        <v>1800</v>
      </c>
      <c r="I835">
        <v>14</v>
      </c>
      <c r="J835">
        <v>5</v>
      </c>
      <c r="K835">
        <v>0</v>
      </c>
      <c r="L835">
        <v>23940</v>
      </c>
      <c r="M835">
        <v>20481</v>
      </c>
      <c r="N835">
        <f t="shared" ref="N835:N898" si="14">L835-M835</f>
        <v>3459</v>
      </c>
      <c r="O835" t="s">
        <v>23</v>
      </c>
      <c r="P835" t="s">
        <v>31</v>
      </c>
      <c r="Q835" t="s">
        <v>32</v>
      </c>
    </row>
    <row r="836" spans="1:17" x14ac:dyDescent="0.3">
      <c r="A836" t="s">
        <v>914</v>
      </c>
      <c r="B836" s="1">
        <v>45407</v>
      </c>
      <c r="C836" t="s">
        <v>49</v>
      </c>
      <c r="D836" t="s">
        <v>41</v>
      </c>
      <c r="E836" t="s">
        <v>28</v>
      </c>
      <c r="F836" t="s">
        <v>29</v>
      </c>
      <c r="G836" t="s">
        <v>30</v>
      </c>
      <c r="H836">
        <v>1800</v>
      </c>
      <c r="I836">
        <v>14</v>
      </c>
      <c r="J836">
        <v>10</v>
      </c>
      <c r="K836">
        <v>5</v>
      </c>
      <c r="L836">
        <v>22680</v>
      </c>
      <c r="M836">
        <v>21901.49</v>
      </c>
      <c r="N836">
        <f t="shared" si="14"/>
        <v>778.5099999999984</v>
      </c>
      <c r="O836" t="s">
        <v>23</v>
      </c>
      <c r="P836" t="s">
        <v>31</v>
      </c>
      <c r="Q836" t="s">
        <v>32</v>
      </c>
    </row>
    <row r="837" spans="1:17" x14ac:dyDescent="0.3">
      <c r="A837" t="s">
        <v>915</v>
      </c>
      <c r="B837" s="1">
        <v>45443</v>
      </c>
      <c r="C837" t="s">
        <v>49</v>
      </c>
      <c r="D837" t="s">
        <v>41</v>
      </c>
      <c r="E837" t="s">
        <v>75</v>
      </c>
      <c r="F837" t="s">
        <v>76</v>
      </c>
      <c r="G837" t="s">
        <v>77</v>
      </c>
      <c r="H837">
        <v>8000</v>
      </c>
      <c r="I837">
        <v>7</v>
      </c>
      <c r="J837">
        <v>5</v>
      </c>
      <c r="K837">
        <v>25</v>
      </c>
      <c r="L837">
        <v>53200</v>
      </c>
      <c r="M837">
        <v>46070.559999999998</v>
      </c>
      <c r="N837">
        <f t="shared" si="14"/>
        <v>7129.4400000000023</v>
      </c>
      <c r="O837" t="s">
        <v>38</v>
      </c>
      <c r="P837" t="s">
        <v>31</v>
      </c>
      <c r="Q837" t="s">
        <v>39</v>
      </c>
    </row>
    <row r="838" spans="1:17" x14ac:dyDescent="0.3">
      <c r="A838" t="s">
        <v>916</v>
      </c>
      <c r="B838" s="1">
        <v>45353</v>
      </c>
      <c r="C838" t="s">
        <v>49</v>
      </c>
      <c r="D838" t="s">
        <v>41</v>
      </c>
      <c r="E838" t="s">
        <v>71</v>
      </c>
      <c r="F838" t="s">
        <v>21</v>
      </c>
      <c r="G838" t="s">
        <v>72</v>
      </c>
      <c r="H838">
        <v>60000</v>
      </c>
      <c r="I838">
        <v>7</v>
      </c>
      <c r="J838">
        <v>10</v>
      </c>
      <c r="K838">
        <v>15</v>
      </c>
      <c r="L838">
        <v>378000</v>
      </c>
      <c r="M838">
        <v>378738.51</v>
      </c>
      <c r="N838">
        <f t="shared" si="14"/>
        <v>-738.51000000000931</v>
      </c>
      <c r="O838" t="s">
        <v>38</v>
      </c>
      <c r="P838" t="s">
        <v>24</v>
      </c>
      <c r="Q838" t="s">
        <v>39</v>
      </c>
    </row>
    <row r="839" spans="1:17" x14ac:dyDescent="0.3">
      <c r="A839" t="s">
        <v>917</v>
      </c>
      <c r="B839" s="1">
        <v>45360</v>
      </c>
      <c r="C839" t="s">
        <v>49</v>
      </c>
      <c r="D839" t="s">
        <v>35</v>
      </c>
      <c r="E839" t="s">
        <v>20</v>
      </c>
      <c r="F839" t="s">
        <v>21</v>
      </c>
      <c r="G839" t="s">
        <v>22</v>
      </c>
      <c r="H839">
        <v>6000</v>
      </c>
      <c r="I839">
        <v>8</v>
      </c>
      <c r="J839">
        <v>10</v>
      </c>
      <c r="K839">
        <v>20</v>
      </c>
      <c r="L839">
        <v>43200</v>
      </c>
      <c r="M839">
        <v>42442.559999999998</v>
      </c>
      <c r="N839">
        <f t="shared" si="14"/>
        <v>757.44000000000233</v>
      </c>
      <c r="O839" t="s">
        <v>38</v>
      </c>
      <c r="P839" t="s">
        <v>31</v>
      </c>
      <c r="Q839" t="s">
        <v>39</v>
      </c>
    </row>
    <row r="840" spans="1:17" x14ac:dyDescent="0.3">
      <c r="A840" t="s">
        <v>918</v>
      </c>
      <c r="B840" s="1">
        <v>45425</v>
      </c>
      <c r="C840" t="s">
        <v>34</v>
      </c>
      <c r="D840" t="s">
        <v>19</v>
      </c>
      <c r="E840" t="s">
        <v>42</v>
      </c>
      <c r="F840" t="s">
        <v>29</v>
      </c>
      <c r="G840" t="s">
        <v>43</v>
      </c>
      <c r="H840">
        <v>500</v>
      </c>
      <c r="I840">
        <v>2</v>
      </c>
      <c r="J840">
        <v>10</v>
      </c>
      <c r="K840">
        <v>10</v>
      </c>
      <c r="L840">
        <v>900</v>
      </c>
      <c r="M840">
        <v>917.78</v>
      </c>
      <c r="N840">
        <f t="shared" si="14"/>
        <v>-17.779999999999973</v>
      </c>
      <c r="O840" t="s">
        <v>23</v>
      </c>
      <c r="P840" t="s">
        <v>24</v>
      </c>
      <c r="Q840" t="s">
        <v>25</v>
      </c>
    </row>
    <row r="841" spans="1:17" x14ac:dyDescent="0.3">
      <c r="A841" t="s">
        <v>919</v>
      </c>
      <c r="B841" s="1">
        <v>45400</v>
      </c>
      <c r="C841" t="s">
        <v>18</v>
      </c>
      <c r="D841" t="s">
        <v>92</v>
      </c>
      <c r="E841" t="s">
        <v>45</v>
      </c>
      <c r="F841" t="s">
        <v>46</v>
      </c>
      <c r="G841" t="s">
        <v>47</v>
      </c>
      <c r="H841">
        <v>15000</v>
      </c>
      <c r="I841">
        <v>4</v>
      </c>
      <c r="J841">
        <v>15</v>
      </c>
      <c r="K841">
        <v>10</v>
      </c>
      <c r="L841">
        <v>51000</v>
      </c>
      <c r="M841">
        <v>43993.81</v>
      </c>
      <c r="N841">
        <f t="shared" si="14"/>
        <v>7006.1900000000023</v>
      </c>
      <c r="O841" t="s">
        <v>23</v>
      </c>
      <c r="P841" t="s">
        <v>31</v>
      </c>
      <c r="Q841" t="s">
        <v>32</v>
      </c>
    </row>
    <row r="842" spans="1:17" x14ac:dyDescent="0.3">
      <c r="A842" t="s">
        <v>920</v>
      </c>
      <c r="B842" s="1">
        <v>45364</v>
      </c>
      <c r="C842" t="s">
        <v>53</v>
      </c>
      <c r="D842" t="s">
        <v>35</v>
      </c>
      <c r="E842" t="s">
        <v>28</v>
      </c>
      <c r="F842" t="s">
        <v>29</v>
      </c>
      <c r="G842" t="s">
        <v>30</v>
      </c>
      <c r="H842">
        <v>1800</v>
      </c>
      <c r="I842">
        <v>15</v>
      </c>
      <c r="J842">
        <v>15</v>
      </c>
      <c r="K842">
        <v>5</v>
      </c>
      <c r="L842">
        <v>22950</v>
      </c>
      <c r="M842">
        <v>21744.22</v>
      </c>
      <c r="N842">
        <f t="shared" si="14"/>
        <v>1205.7799999999988</v>
      </c>
      <c r="O842" t="s">
        <v>23</v>
      </c>
      <c r="P842" t="s">
        <v>31</v>
      </c>
      <c r="Q842" t="s">
        <v>32</v>
      </c>
    </row>
    <row r="843" spans="1:17" x14ac:dyDescent="0.3">
      <c r="A843" t="s">
        <v>921</v>
      </c>
      <c r="B843" s="1">
        <v>45388</v>
      </c>
      <c r="C843" t="s">
        <v>18</v>
      </c>
      <c r="D843" t="s">
        <v>19</v>
      </c>
      <c r="E843" t="s">
        <v>100</v>
      </c>
      <c r="F843" t="s">
        <v>46</v>
      </c>
      <c r="G843" t="s">
        <v>55</v>
      </c>
      <c r="H843">
        <v>2500</v>
      </c>
      <c r="I843">
        <v>7</v>
      </c>
      <c r="J843">
        <v>10</v>
      </c>
      <c r="K843">
        <v>25</v>
      </c>
      <c r="L843">
        <v>15750</v>
      </c>
      <c r="M843">
        <v>15323.31</v>
      </c>
      <c r="N843">
        <f t="shared" si="14"/>
        <v>426.69000000000051</v>
      </c>
      <c r="O843" t="s">
        <v>38</v>
      </c>
      <c r="P843" t="s">
        <v>31</v>
      </c>
      <c r="Q843" t="s">
        <v>39</v>
      </c>
    </row>
    <row r="844" spans="1:17" x14ac:dyDescent="0.3">
      <c r="A844" t="s">
        <v>922</v>
      </c>
      <c r="B844" s="1">
        <v>45342</v>
      </c>
      <c r="C844" t="s">
        <v>49</v>
      </c>
      <c r="D844" t="s">
        <v>41</v>
      </c>
      <c r="E844" t="s">
        <v>57</v>
      </c>
      <c r="F844" t="s">
        <v>46</v>
      </c>
      <c r="G844" t="s">
        <v>58</v>
      </c>
      <c r="H844">
        <v>18000</v>
      </c>
      <c r="I844">
        <v>15</v>
      </c>
      <c r="J844">
        <v>10</v>
      </c>
      <c r="K844">
        <v>20</v>
      </c>
      <c r="L844">
        <v>243000</v>
      </c>
      <c r="M844">
        <v>231077.37</v>
      </c>
      <c r="N844">
        <f t="shared" si="14"/>
        <v>11922.630000000005</v>
      </c>
      <c r="O844" t="s">
        <v>38</v>
      </c>
      <c r="P844" t="s">
        <v>31</v>
      </c>
      <c r="Q844" t="s">
        <v>39</v>
      </c>
    </row>
    <row r="845" spans="1:17" x14ac:dyDescent="0.3">
      <c r="A845" t="s">
        <v>923</v>
      </c>
      <c r="B845" s="1">
        <v>45352</v>
      </c>
      <c r="C845" t="s">
        <v>34</v>
      </c>
      <c r="D845" t="s">
        <v>19</v>
      </c>
      <c r="E845" t="s">
        <v>28</v>
      </c>
      <c r="F845" t="s">
        <v>29</v>
      </c>
      <c r="G845" t="s">
        <v>30</v>
      </c>
      <c r="H845">
        <v>1800</v>
      </c>
      <c r="I845">
        <v>12</v>
      </c>
      <c r="J845">
        <v>10</v>
      </c>
      <c r="K845">
        <v>15</v>
      </c>
      <c r="L845">
        <v>19440</v>
      </c>
      <c r="M845">
        <v>17833</v>
      </c>
      <c r="N845">
        <f t="shared" si="14"/>
        <v>1607</v>
      </c>
      <c r="O845" t="s">
        <v>38</v>
      </c>
      <c r="P845" t="s">
        <v>31</v>
      </c>
      <c r="Q845" t="s">
        <v>39</v>
      </c>
    </row>
    <row r="846" spans="1:17" x14ac:dyDescent="0.3">
      <c r="A846" t="s">
        <v>924</v>
      </c>
      <c r="B846" s="1">
        <v>45412</v>
      </c>
      <c r="C846" t="s">
        <v>53</v>
      </c>
      <c r="D846" t="s">
        <v>19</v>
      </c>
      <c r="E846" t="s">
        <v>54</v>
      </c>
      <c r="F846" t="s">
        <v>46</v>
      </c>
      <c r="G846" t="s">
        <v>55</v>
      </c>
      <c r="H846">
        <v>4500</v>
      </c>
      <c r="I846">
        <v>10</v>
      </c>
      <c r="J846">
        <v>5</v>
      </c>
      <c r="K846">
        <v>0</v>
      </c>
      <c r="L846">
        <v>42750</v>
      </c>
      <c r="M846">
        <v>43764.27</v>
      </c>
      <c r="N846">
        <f t="shared" si="14"/>
        <v>-1014.2699999999968</v>
      </c>
      <c r="O846" t="s">
        <v>23</v>
      </c>
      <c r="P846" t="s">
        <v>24</v>
      </c>
      <c r="Q846" t="s">
        <v>25</v>
      </c>
    </row>
    <row r="847" spans="1:17" x14ac:dyDescent="0.3">
      <c r="A847" t="s">
        <v>925</v>
      </c>
      <c r="B847" s="1">
        <v>45352</v>
      </c>
      <c r="C847" t="s">
        <v>18</v>
      </c>
      <c r="D847" t="s">
        <v>27</v>
      </c>
      <c r="E847" t="s">
        <v>75</v>
      </c>
      <c r="F847" t="s">
        <v>76</v>
      </c>
      <c r="G847" t="s">
        <v>77</v>
      </c>
      <c r="H847">
        <v>8000</v>
      </c>
      <c r="I847">
        <v>5</v>
      </c>
      <c r="J847">
        <v>15</v>
      </c>
      <c r="K847">
        <v>20</v>
      </c>
      <c r="L847">
        <v>34000</v>
      </c>
      <c r="M847">
        <v>33759</v>
      </c>
      <c r="N847">
        <f t="shared" si="14"/>
        <v>241</v>
      </c>
      <c r="O847" t="s">
        <v>38</v>
      </c>
      <c r="P847" t="s">
        <v>31</v>
      </c>
      <c r="Q847" t="s">
        <v>39</v>
      </c>
    </row>
    <row r="848" spans="1:17" x14ac:dyDescent="0.3">
      <c r="A848" t="s">
        <v>926</v>
      </c>
      <c r="B848" s="1">
        <v>45403</v>
      </c>
      <c r="C848" t="s">
        <v>34</v>
      </c>
      <c r="D848" t="s">
        <v>35</v>
      </c>
      <c r="E848" t="s">
        <v>104</v>
      </c>
      <c r="F848" t="s">
        <v>29</v>
      </c>
      <c r="G848" t="s">
        <v>30</v>
      </c>
      <c r="H848">
        <v>1200</v>
      </c>
      <c r="I848">
        <v>3</v>
      </c>
      <c r="J848">
        <v>10</v>
      </c>
      <c r="K848">
        <v>10</v>
      </c>
      <c r="L848">
        <v>3240</v>
      </c>
      <c r="M848">
        <v>3258.65</v>
      </c>
      <c r="N848">
        <f t="shared" si="14"/>
        <v>-18.650000000000091</v>
      </c>
      <c r="O848" t="s">
        <v>23</v>
      </c>
      <c r="P848" t="s">
        <v>24</v>
      </c>
      <c r="Q848" t="s">
        <v>25</v>
      </c>
    </row>
    <row r="849" spans="1:17" x14ac:dyDescent="0.3">
      <c r="A849" t="s">
        <v>927</v>
      </c>
      <c r="B849" s="1">
        <v>45405</v>
      </c>
      <c r="C849" t="s">
        <v>53</v>
      </c>
      <c r="D849" t="s">
        <v>27</v>
      </c>
      <c r="E849" t="s">
        <v>102</v>
      </c>
      <c r="F849" t="s">
        <v>29</v>
      </c>
      <c r="G849" t="s">
        <v>43</v>
      </c>
      <c r="H849">
        <v>1500</v>
      </c>
      <c r="I849">
        <v>6</v>
      </c>
      <c r="J849">
        <v>10</v>
      </c>
      <c r="K849">
        <v>20</v>
      </c>
      <c r="L849">
        <v>8100</v>
      </c>
      <c r="M849">
        <v>6920.7</v>
      </c>
      <c r="N849">
        <f t="shared" si="14"/>
        <v>1179.3000000000002</v>
      </c>
      <c r="O849" t="s">
        <v>38</v>
      </c>
      <c r="P849" t="s">
        <v>31</v>
      </c>
      <c r="Q849" t="s">
        <v>39</v>
      </c>
    </row>
    <row r="850" spans="1:17" x14ac:dyDescent="0.3">
      <c r="A850" t="s">
        <v>928</v>
      </c>
      <c r="B850" s="1">
        <v>45325</v>
      </c>
      <c r="C850" t="s">
        <v>49</v>
      </c>
      <c r="D850" t="s">
        <v>19</v>
      </c>
      <c r="E850" t="s">
        <v>102</v>
      </c>
      <c r="F850" t="s">
        <v>29</v>
      </c>
      <c r="G850" t="s">
        <v>43</v>
      </c>
      <c r="H850">
        <v>1500</v>
      </c>
      <c r="I850">
        <v>15</v>
      </c>
      <c r="J850">
        <v>5</v>
      </c>
      <c r="K850">
        <v>10</v>
      </c>
      <c r="L850">
        <v>21375</v>
      </c>
      <c r="M850">
        <v>21977.84</v>
      </c>
      <c r="N850">
        <f t="shared" si="14"/>
        <v>-602.84000000000015</v>
      </c>
      <c r="O850" t="s">
        <v>38</v>
      </c>
      <c r="P850" t="s">
        <v>24</v>
      </c>
      <c r="Q850" t="s">
        <v>39</v>
      </c>
    </row>
    <row r="851" spans="1:17" x14ac:dyDescent="0.3">
      <c r="A851" t="s">
        <v>929</v>
      </c>
      <c r="B851" s="1">
        <v>45363</v>
      </c>
      <c r="C851" t="s">
        <v>34</v>
      </c>
      <c r="D851" t="s">
        <v>41</v>
      </c>
      <c r="E851" t="s">
        <v>42</v>
      </c>
      <c r="F851" t="s">
        <v>29</v>
      </c>
      <c r="G851" t="s">
        <v>43</v>
      </c>
      <c r="H851">
        <v>500</v>
      </c>
      <c r="I851">
        <v>2</v>
      </c>
      <c r="J851">
        <v>5</v>
      </c>
      <c r="K851">
        <v>0</v>
      </c>
      <c r="L851">
        <v>950</v>
      </c>
      <c r="M851">
        <v>929.57</v>
      </c>
      <c r="N851">
        <f t="shared" si="14"/>
        <v>20.42999999999995</v>
      </c>
      <c r="O851" t="s">
        <v>23</v>
      </c>
      <c r="P851" t="s">
        <v>31</v>
      </c>
      <c r="Q851" t="s">
        <v>32</v>
      </c>
    </row>
    <row r="852" spans="1:17" x14ac:dyDescent="0.3">
      <c r="A852" t="s">
        <v>930</v>
      </c>
      <c r="B852" s="1">
        <v>45398</v>
      </c>
      <c r="C852" t="s">
        <v>49</v>
      </c>
      <c r="D852" t="s">
        <v>41</v>
      </c>
      <c r="E852" t="s">
        <v>90</v>
      </c>
      <c r="F852" t="s">
        <v>29</v>
      </c>
      <c r="G852" t="s">
        <v>37</v>
      </c>
      <c r="H852">
        <v>6500</v>
      </c>
      <c r="I852">
        <v>4</v>
      </c>
      <c r="J852">
        <v>10</v>
      </c>
      <c r="K852">
        <v>5</v>
      </c>
      <c r="L852">
        <v>23400</v>
      </c>
      <c r="M852">
        <v>22399.55</v>
      </c>
      <c r="N852">
        <f t="shared" si="14"/>
        <v>1000.4500000000007</v>
      </c>
      <c r="O852" t="s">
        <v>23</v>
      </c>
      <c r="P852" t="s">
        <v>31</v>
      </c>
      <c r="Q852" t="s">
        <v>32</v>
      </c>
    </row>
    <row r="853" spans="1:17" x14ac:dyDescent="0.3">
      <c r="A853" t="s">
        <v>931</v>
      </c>
      <c r="B853" s="1">
        <v>45314</v>
      </c>
      <c r="C853" t="s">
        <v>53</v>
      </c>
      <c r="D853" t="s">
        <v>41</v>
      </c>
      <c r="E853" t="s">
        <v>20</v>
      </c>
      <c r="F853" t="s">
        <v>21</v>
      </c>
      <c r="G853" t="s">
        <v>22</v>
      </c>
      <c r="H853">
        <v>6000</v>
      </c>
      <c r="I853">
        <v>1</v>
      </c>
      <c r="J853">
        <v>10</v>
      </c>
      <c r="K853">
        <v>5</v>
      </c>
      <c r="L853">
        <v>5400</v>
      </c>
      <c r="M853">
        <v>5541.68</v>
      </c>
      <c r="N853">
        <f t="shared" si="14"/>
        <v>-141.68000000000029</v>
      </c>
      <c r="O853" t="s">
        <v>23</v>
      </c>
      <c r="P853" t="s">
        <v>24</v>
      </c>
      <c r="Q853" t="s">
        <v>25</v>
      </c>
    </row>
    <row r="854" spans="1:17" x14ac:dyDescent="0.3">
      <c r="A854" t="s">
        <v>932</v>
      </c>
      <c r="B854" s="1">
        <v>45403</v>
      </c>
      <c r="C854" t="s">
        <v>18</v>
      </c>
      <c r="D854" t="s">
        <v>70</v>
      </c>
      <c r="E854" t="s">
        <v>81</v>
      </c>
      <c r="F854" t="s">
        <v>21</v>
      </c>
      <c r="G854" t="s">
        <v>82</v>
      </c>
      <c r="H854">
        <v>8000</v>
      </c>
      <c r="I854">
        <v>12</v>
      </c>
      <c r="J854">
        <v>15</v>
      </c>
      <c r="K854">
        <v>20</v>
      </c>
      <c r="L854">
        <v>81600</v>
      </c>
      <c r="M854">
        <v>72156.600000000006</v>
      </c>
      <c r="N854">
        <f t="shared" si="14"/>
        <v>9443.3999999999942</v>
      </c>
      <c r="O854" t="s">
        <v>38</v>
      </c>
      <c r="P854" t="s">
        <v>31</v>
      </c>
      <c r="Q854" t="s">
        <v>39</v>
      </c>
    </row>
    <row r="855" spans="1:17" x14ac:dyDescent="0.3">
      <c r="A855" t="s">
        <v>933</v>
      </c>
      <c r="B855" s="1">
        <v>45292</v>
      </c>
      <c r="C855" t="s">
        <v>34</v>
      </c>
      <c r="D855" t="s">
        <v>92</v>
      </c>
      <c r="E855" t="s">
        <v>140</v>
      </c>
      <c r="F855" t="s">
        <v>141</v>
      </c>
      <c r="G855" t="s">
        <v>142</v>
      </c>
      <c r="H855">
        <v>12000</v>
      </c>
      <c r="I855">
        <v>8</v>
      </c>
      <c r="J855">
        <v>10</v>
      </c>
      <c r="K855">
        <v>25</v>
      </c>
      <c r="L855">
        <v>86400</v>
      </c>
      <c r="M855">
        <v>86101.71</v>
      </c>
      <c r="N855">
        <f t="shared" si="14"/>
        <v>298.2899999999936</v>
      </c>
      <c r="O855" t="s">
        <v>38</v>
      </c>
      <c r="P855" t="s">
        <v>31</v>
      </c>
      <c r="Q855" t="s">
        <v>39</v>
      </c>
    </row>
    <row r="856" spans="1:17" x14ac:dyDescent="0.3">
      <c r="A856" t="s">
        <v>934</v>
      </c>
      <c r="B856" s="1">
        <v>45297</v>
      </c>
      <c r="C856" t="s">
        <v>53</v>
      </c>
      <c r="D856" t="s">
        <v>41</v>
      </c>
      <c r="E856" t="s">
        <v>90</v>
      </c>
      <c r="F856" t="s">
        <v>29</v>
      </c>
      <c r="G856" t="s">
        <v>37</v>
      </c>
      <c r="H856">
        <v>6500</v>
      </c>
      <c r="I856">
        <v>14</v>
      </c>
      <c r="J856">
        <v>5</v>
      </c>
      <c r="K856">
        <v>25</v>
      </c>
      <c r="L856">
        <v>86450</v>
      </c>
      <c r="M856">
        <v>81706.880000000005</v>
      </c>
      <c r="N856">
        <f t="shared" si="14"/>
        <v>4743.1199999999953</v>
      </c>
      <c r="O856" t="s">
        <v>38</v>
      </c>
      <c r="P856" t="s">
        <v>31</v>
      </c>
      <c r="Q856" t="s">
        <v>39</v>
      </c>
    </row>
    <row r="857" spans="1:17" x14ac:dyDescent="0.3">
      <c r="A857" t="s">
        <v>935</v>
      </c>
      <c r="B857" s="1">
        <v>45447</v>
      </c>
      <c r="C857" t="s">
        <v>18</v>
      </c>
      <c r="D857" t="s">
        <v>92</v>
      </c>
      <c r="E857" t="s">
        <v>28</v>
      </c>
      <c r="F857" t="s">
        <v>29</v>
      </c>
      <c r="G857" t="s">
        <v>30</v>
      </c>
      <c r="H857">
        <v>1800</v>
      </c>
      <c r="I857">
        <v>9</v>
      </c>
      <c r="J857">
        <v>5</v>
      </c>
      <c r="K857">
        <v>0</v>
      </c>
      <c r="L857">
        <v>15390</v>
      </c>
      <c r="M857">
        <v>15023.9</v>
      </c>
      <c r="N857">
        <f t="shared" si="14"/>
        <v>366.10000000000036</v>
      </c>
      <c r="O857" t="s">
        <v>23</v>
      </c>
      <c r="P857" t="s">
        <v>31</v>
      </c>
      <c r="Q857" t="s">
        <v>32</v>
      </c>
    </row>
    <row r="858" spans="1:17" x14ac:dyDescent="0.3">
      <c r="A858" t="s">
        <v>936</v>
      </c>
      <c r="B858" s="1">
        <v>45419</v>
      </c>
      <c r="C858" t="s">
        <v>34</v>
      </c>
      <c r="D858" t="s">
        <v>92</v>
      </c>
      <c r="E858" t="s">
        <v>90</v>
      </c>
      <c r="F858" t="s">
        <v>29</v>
      </c>
      <c r="G858" t="s">
        <v>37</v>
      </c>
      <c r="H858">
        <v>6500</v>
      </c>
      <c r="I858">
        <v>1</v>
      </c>
      <c r="J858">
        <v>15</v>
      </c>
      <c r="K858">
        <v>20</v>
      </c>
      <c r="L858">
        <v>5525</v>
      </c>
      <c r="M858">
        <v>5067.8500000000004</v>
      </c>
      <c r="N858">
        <f t="shared" si="14"/>
        <v>457.14999999999964</v>
      </c>
      <c r="O858" t="s">
        <v>38</v>
      </c>
      <c r="P858" t="s">
        <v>31</v>
      </c>
      <c r="Q858" t="s">
        <v>39</v>
      </c>
    </row>
    <row r="859" spans="1:17" x14ac:dyDescent="0.3">
      <c r="A859" t="s">
        <v>937</v>
      </c>
      <c r="B859" s="1">
        <v>45339</v>
      </c>
      <c r="C859" t="s">
        <v>49</v>
      </c>
      <c r="D859" t="s">
        <v>35</v>
      </c>
      <c r="E859" t="s">
        <v>50</v>
      </c>
      <c r="F859" t="s">
        <v>21</v>
      </c>
      <c r="G859" t="s">
        <v>51</v>
      </c>
      <c r="H859">
        <v>4500</v>
      </c>
      <c r="I859">
        <v>9</v>
      </c>
      <c r="J859">
        <v>10</v>
      </c>
      <c r="K859">
        <v>20</v>
      </c>
      <c r="L859">
        <v>36450</v>
      </c>
      <c r="M859">
        <v>38252.61</v>
      </c>
      <c r="N859">
        <f t="shared" si="14"/>
        <v>-1802.6100000000006</v>
      </c>
      <c r="O859" t="s">
        <v>38</v>
      </c>
      <c r="P859" t="s">
        <v>24</v>
      </c>
      <c r="Q859" t="s">
        <v>39</v>
      </c>
    </row>
    <row r="860" spans="1:17" x14ac:dyDescent="0.3">
      <c r="A860" t="s">
        <v>938</v>
      </c>
      <c r="B860" s="1">
        <v>45370</v>
      </c>
      <c r="C860" t="s">
        <v>49</v>
      </c>
      <c r="D860" t="s">
        <v>27</v>
      </c>
      <c r="E860" t="s">
        <v>28</v>
      </c>
      <c r="F860" t="s">
        <v>29</v>
      </c>
      <c r="G860" t="s">
        <v>30</v>
      </c>
      <c r="H860">
        <v>1800</v>
      </c>
      <c r="I860">
        <v>8</v>
      </c>
      <c r="J860">
        <v>10</v>
      </c>
      <c r="K860">
        <v>0</v>
      </c>
      <c r="L860">
        <v>12960</v>
      </c>
      <c r="M860">
        <v>11296.45</v>
      </c>
      <c r="N860">
        <f t="shared" si="14"/>
        <v>1663.5499999999993</v>
      </c>
      <c r="O860" t="s">
        <v>23</v>
      </c>
      <c r="P860" t="s">
        <v>31</v>
      </c>
      <c r="Q860" t="s">
        <v>32</v>
      </c>
    </row>
    <row r="861" spans="1:17" x14ac:dyDescent="0.3">
      <c r="A861" t="s">
        <v>939</v>
      </c>
      <c r="B861" s="1">
        <v>45377</v>
      </c>
      <c r="C861" t="s">
        <v>53</v>
      </c>
      <c r="D861" t="s">
        <v>92</v>
      </c>
      <c r="E861" t="s">
        <v>107</v>
      </c>
      <c r="F861" t="s">
        <v>108</v>
      </c>
      <c r="G861" t="s">
        <v>109</v>
      </c>
      <c r="H861">
        <v>18000</v>
      </c>
      <c r="I861">
        <v>7</v>
      </c>
      <c r="J861">
        <v>10</v>
      </c>
      <c r="K861">
        <v>0</v>
      </c>
      <c r="L861">
        <v>113400</v>
      </c>
      <c r="M861">
        <v>112069.59</v>
      </c>
      <c r="N861">
        <f t="shared" si="14"/>
        <v>1330.4100000000035</v>
      </c>
      <c r="O861" t="s">
        <v>23</v>
      </c>
      <c r="P861" t="s">
        <v>31</v>
      </c>
      <c r="Q861" t="s">
        <v>32</v>
      </c>
    </row>
    <row r="862" spans="1:17" x14ac:dyDescent="0.3">
      <c r="A862" t="s">
        <v>940</v>
      </c>
      <c r="B862" s="1">
        <v>45462</v>
      </c>
      <c r="C862" t="s">
        <v>18</v>
      </c>
      <c r="D862" t="s">
        <v>19</v>
      </c>
      <c r="E862" t="s">
        <v>107</v>
      </c>
      <c r="F862" t="s">
        <v>108</v>
      </c>
      <c r="G862" t="s">
        <v>109</v>
      </c>
      <c r="H862">
        <v>18000</v>
      </c>
      <c r="I862">
        <v>4</v>
      </c>
      <c r="J862">
        <v>10</v>
      </c>
      <c r="K862">
        <v>25</v>
      </c>
      <c r="L862">
        <v>64800</v>
      </c>
      <c r="M862">
        <v>58347.25</v>
      </c>
      <c r="N862">
        <f t="shared" si="14"/>
        <v>6452.75</v>
      </c>
      <c r="O862" t="s">
        <v>38</v>
      </c>
      <c r="P862" t="s">
        <v>31</v>
      </c>
      <c r="Q862" t="s">
        <v>39</v>
      </c>
    </row>
    <row r="863" spans="1:17" x14ac:dyDescent="0.3">
      <c r="A863" t="s">
        <v>941</v>
      </c>
      <c r="B863" s="1">
        <v>45403</v>
      </c>
      <c r="C863" t="s">
        <v>34</v>
      </c>
      <c r="D863" t="s">
        <v>92</v>
      </c>
      <c r="E863" t="s">
        <v>45</v>
      </c>
      <c r="F863" t="s">
        <v>46</v>
      </c>
      <c r="G863" t="s">
        <v>47</v>
      </c>
      <c r="H863">
        <v>15000</v>
      </c>
      <c r="I863">
        <v>3</v>
      </c>
      <c r="J863">
        <v>15</v>
      </c>
      <c r="K863">
        <v>10</v>
      </c>
      <c r="L863">
        <v>38250</v>
      </c>
      <c r="M863">
        <v>35346.51</v>
      </c>
      <c r="N863">
        <f t="shared" si="14"/>
        <v>2903.489999999998</v>
      </c>
      <c r="O863" t="s">
        <v>23</v>
      </c>
      <c r="P863" t="s">
        <v>31</v>
      </c>
      <c r="Q863" t="s">
        <v>32</v>
      </c>
    </row>
    <row r="864" spans="1:17" x14ac:dyDescent="0.3">
      <c r="A864" t="s">
        <v>942</v>
      </c>
      <c r="B864" s="1">
        <v>45390</v>
      </c>
      <c r="C864" t="s">
        <v>53</v>
      </c>
      <c r="D864" t="s">
        <v>92</v>
      </c>
      <c r="E864" t="s">
        <v>90</v>
      </c>
      <c r="F864" t="s">
        <v>29</v>
      </c>
      <c r="G864" t="s">
        <v>37</v>
      </c>
      <c r="H864">
        <v>6500</v>
      </c>
      <c r="I864">
        <v>5</v>
      </c>
      <c r="J864">
        <v>5</v>
      </c>
      <c r="K864">
        <v>5</v>
      </c>
      <c r="L864">
        <v>30875</v>
      </c>
      <c r="M864">
        <v>28951.26</v>
      </c>
      <c r="N864">
        <f t="shared" si="14"/>
        <v>1923.7400000000016</v>
      </c>
      <c r="O864" t="s">
        <v>23</v>
      </c>
      <c r="P864" t="s">
        <v>31</v>
      </c>
      <c r="Q864" t="s">
        <v>32</v>
      </c>
    </row>
    <row r="865" spans="1:17" x14ac:dyDescent="0.3">
      <c r="A865" t="s">
        <v>943</v>
      </c>
      <c r="B865" s="1">
        <v>45346</v>
      </c>
      <c r="C865" t="s">
        <v>18</v>
      </c>
      <c r="D865" t="s">
        <v>19</v>
      </c>
      <c r="E865" t="s">
        <v>54</v>
      </c>
      <c r="F865" t="s">
        <v>46</v>
      </c>
      <c r="G865" t="s">
        <v>55</v>
      </c>
      <c r="H865">
        <v>4500</v>
      </c>
      <c r="I865">
        <v>5</v>
      </c>
      <c r="J865">
        <v>5</v>
      </c>
      <c r="K865">
        <v>0</v>
      </c>
      <c r="L865">
        <v>21375</v>
      </c>
      <c r="M865">
        <v>18391.060000000001</v>
      </c>
      <c r="N865">
        <f t="shared" si="14"/>
        <v>2983.9399999999987</v>
      </c>
      <c r="O865" t="s">
        <v>23</v>
      </c>
      <c r="P865" t="s">
        <v>31</v>
      </c>
      <c r="Q865" t="s">
        <v>32</v>
      </c>
    </row>
    <row r="866" spans="1:17" x14ac:dyDescent="0.3">
      <c r="A866" t="s">
        <v>944</v>
      </c>
      <c r="B866" s="1">
        <v>45349</v>
      </c>
      <c r="C866" t="s">
        <v>34</v>
      </c>
      <c r="D866" t="s">
        <v>70</v>
      </c>
      <c r="E866" t="s">
        <v>167</v>
      </c>
      <c r="F866" t="s">
        <v>21</v>
      </c>
      <c r="G866" t="s">
        <v>82</v>
      </c>
      <c r="H866">
        <v>7000</v>
      </c>
      <c r="I866">
        <v>7</v>
      </c>
      <c r="J866">
        <v>10</v>
      </c>
      <c r="K866">
        <v>20</v>
      </c>
      <c r="L866">
        <v>44100</v>
      </c>
      <c r="M866">
        <v>41284.35</v>
      </c>
      <c r="N866">
        <f t="shared" si="14"/>
        <v>2815.6500000000015</v>
      </c>
      <c r="O866" t="s">
        <v>38</v>
      </c>
      <c r="P866" t="s">
        <v>31</v>
      </c>
      <c r="Q866" t="s">
        <v>39</v>
      </c>
    </row>
    <row r="867" spans="1:17" x14ac:dyDescent="0.3">
      <c r="A867" t="s">
        <v>945</v>
      </c>
      <c r="B867" s="1">
        <v>45310</v>
      </c>
      <c r="C867" t="s">
        <v>53</v>
      </c>
      <c r="D867" t="s">
        <v>35</v>
      </c>
      <c r="E867" t="s">
        <v>151</v>
      </c>
      <c r="F867" t="s">
        <v>141</v>
      </c>
      <c r="G867" t="s">
        <v>142</v>
      </c>
      <c r="H867">
        <v>3500</v>
      </c>
      <c r="I867">
        <v>4</v>
      </c>
      <c r="J867">
        <v>10</v>
      </c>
      <c r="K867">
        <v>5</v>
      </c>
      <c r="L867">
        <v>12600</v>
      </c>
      <c r="M867">
        <v>12685.61</v>
      </c>
      <c r="N867">
        <f t="shared" si="14"/>
        <v>-85.610000000000582</v>
      </c>
      <c r="O867" t="s">
        <v>23</v>
      </c>
      <c r="P867" t="s">
        <v>24</v>
      </c>
      <c r="Q867" t="s">
        <v>25</v>
      </c>
    </row>
    <row r="868" spans="1:17" x14ac:dyDescent="0.3">
      <c r="A868" t="s">
        <v>946</v>
      </c>
      <c r="B868" s="1">
        <v>45333</v>
      </c>
      <c r="C868" t="s">
        <v>53</v>
      </c>
      <c r="D868" t="s">
        <v>92</v>
      </c>
      <c r="E868" t="s">
        <v>75</v>
      </c>
      <c r="F868" t="s">
        <v>76</v>
      </c>
      <c r="G868" t="s">
        <v>77</v>
      </c>
      <c r="H868">
        <v>8000</v>
      </c>
      <c r="I868">
        <v>4</v>
      </c>
      <c r="J868">
        <v>15</v>
      </c>
      <c r="K868">
        <v>5</v>
      </c>
      <c r="L868">
        <v>27200</v>
      </c>
      <c r="M868">
        <v>27141.55</v>
      </c>
      <c r="N868">
        <f t="shared" si="14"/>
        <v>58.450000000000728</v>
      </c>
      <c r="O868" t="s">
        <v>23</v>
      </c>
      <c r="P868" t="s">
        <v>31</v>
      </c>
      <c r="Q868" t="s">
        <v>32</v>
      </c>
    </row>
    <row r="869" spans="1:17" x14ac:dyDescent="0.3">
      <c r="A869" t="s">
        <v>947</v>
      </c>
      <c r="B869" s="1">
        <v>45408</v>
      </c>
      <c r="C869" t="s">
        <v>49</v>
      </c>
      <c r="D869" t="s">
        <v>92</v>
      </c>
      <c r="E869" t="s">
        <v>104</v>
      </c>
      <c r="F869" t="s">
        <v>29</v>
      </c>
      <c r="G869" t="s">
        <v>30</v>
      </c>
      <c r="H869">
        <v>1200</v>
      </c>
      <c r="I869">
        <v>2</v>
      </c>
      <c r="J869">
        <v>5</v>
      </c>
      <c r="K869">
        <v>15</v>
      </c>
      <c r="L869">
        <v>2280</v>
      </c>
      <c r="M869">
        <v>2324.37</v>
      </c>
      <c r="N869">
        <f t="shared" si="14"/>
        <v>-44.369999999999891</v>
      </c>
      <c r="O869" t="s">
        <v>38</v>
      </c>
      <c r="P869" t="s">
        <v>24</v>
      </c>
      <c r="Q869" t="s">
        <v>39</v>
      </c>
    </row>
    <row r="870" spans="1:17" x14ac:dyDescent="0.3">
      <c r="A870" t="s">
        <v>948</v>
      </c>
      <c r="B870" s="1">
        <v>45336</v>
      </c>
      <c r="C870" t="s">
        <v>18</v>
      </c>
      <c r="D870" t="s">
        <v>70</v>
      </c>
      <c r="E870" t="s">
        <v>100</v>
      </c>
      <c r="F870" t="s">
        <v>46</v>
      </c>
      <c r="G870" t="s">
        <v>55</v>
      </c>
      <c r="H870">
        <v>2500</v>
      </c>
      <c r="I870">
        <v>12</v>
      </c>
      <c r="J870">
        <v>10</v>
      </c>
      <c r="K870">
        <v>20</v>
      </c>
      <c r="L870">
        <v>27000</v>
      </c>
      <c r="M870">
        <v>24574.1</v>
      </c>
      <c r="N870">
        <f t="shared" si="14"/>
        <v>2425.9000000000015</v>
      </c>
      <c r="O870" t="s">
        <v>38</v>
      </c>
      <c r="P870" t="s">
        <v>31</v>
      </c>
      <c r="Q870" t="s">
        <v>39</v>
      </c>
    </row>
    <row r="871" spans="1:17" x14ac:dyDescent="0.3">
      <c r="A871" t="s">
        <v>949</v>
      </c>
      <c r="B871" s="1">
        <v>45410</v>
      </c>
      <c r="C871" t="s">
        <v>18</v>
      </c>
      <c r="D871" t="s">
        <v>70</v>
      </c>
      <c r="E871" t="s">
        <v>71</v>
      </c>
      <c r="F871" t="s">
        <v>21</v>
      </c>
      <c r="G871" t="s">
        <v>72</v>
      </c>
      <c r="H871">
        <v>60000</v>
      </c>
      <c r="I871">
        <v>1</v>
      </c>
      <c r="J871">
        <v>10</v>
      </c>
      <c r="K871">
        <v>0</v>
      </c>
      <c r="L871">
        <v>54000</v>
      </c>
      <c r="M871">
        <v>49836.74</v>
      </c>
      <c r="N871">
        <f t="shared" si="14"/>
        <v>4163.260000000002</v>
      </c>
      <c r="O871" t="s">
        <v>23</v>
      </c>
      <c r="P871" t="s">
        <v>31</v>
      </c>
      <c r="Q871" t="s">
        <v>32</v>
      </c>
    </row>
    <row r="872" spans="1:17" x14ac:dyDescent="0.3">
      <c r="A872" t="s">
        <v>950</v>
      </c>
      <c r="B872" s="1">
        <v>45445</v>
      </c>
      <c r="C872" t="s">
        <v>49</v>
      </c>
      <c r="D872" t="s">
        <v>92</v>
      </c>
      <c r="E872" t="s">
        <v>90</v>
      </c>
      <c r="F872" t="s">
        <v>29</v>
      </c>
      <c r="G872" t="s">
        <v>37</v>
      </c>
      <c r="H872">
        <v>6500</v>
      </c>
      <c r="I872">
        <v>2</v>
      </c>
      <c r="J872">
        <v>15</v>
      </c>
      <c r="K872">
        <v>10</v>
      </c>
      <c r="L872">
        <v>11050</v>
      </c>
      <c r="M872">
        <v>9630</v>
      </c>
      <c r="N872">
        <f t="shared" si="14"/>
        <v>1420</v>
      </c>
      <c r="O872" t="s">
        <v>23</v>
      </c>
      <c r="P872" t="s">
        <v>31</v>
      </c>
      <c r="Q872" t="s">
        <v>32</v>
      </c>
    </row>
    <row r="873" spans="1:17" x14ac:dyDescent="0.3">
      <c r="A873" t="s">
        <v>951</v>
      </c>
      <c r="B873" s="1">
        <v>45353</v>
      </c>
      <c r="C873" t="s">
        <v>34</v>
      </c>
      <c r="D873" t="s">
        <v>41</v>
      </c>
      <c r="E873" t="s">
        <v>81</v>
      </c>
      <c r="F873" t="s">
        <v>21</v>
      </c>
      <c r="G873" t="s">
        <v>82</v>
      </c>
      <c r="H873">
        <v>8000</v>
      </c>
      <c r="I873">
        <v>11</v>
      </c>
      <c r="J873">
        <v>10</v>
      </c>
      <c r="K873">
        <v>5</v>
      </c>
      <c r="L873">
        <v>79200</v>
      </c>
      <c r="M873">
        <v>80164.160000000003</v>
      </c>
      <c r="N873">
        <f t="shared" si="14"/>
        <v>-964.16000000000349</v>
      </c>
      <c r="O873" t="s">
        <v>23</v>
      </c>
      <c r="P873" t="s">
        <v>24</v>
      </c>
      <c r="Q873" t="s">
        <v>25</v>
      </c>
    </row>
    <row r="874" spans="1:17" x14ac:dyDescent="0.3">
      <c r="A874" t="s">
        <v>952</v>
      </c>
      <c r="B874" s="1">
        <v>45408</v>
      </c>
      <c r="C874" t="s">
        <v>49</v>
      </c>
      <c r="D874" t="s">
        <v>27</v>
      </c>
      <c r="E874" t="s">
        <v>20</v>
      </c>
      <c r="F874" t="s">
        <v>21</v>
      </c>
      <c r="G874" t="s">
        <v>22</v>
      </c>
      <c r="H874">
        <v>6000</v>
      </c>
      <c r="I874">
        <v>5</v>
      </c>
      <c r="J874">
        <v>5</v>
      </c>
      <c r="K874">
        <v>10</v>
      </c>
      <c r="L874">
        <v>28500</v>
      </c>
      <c r="M874">
        <v>25328.62</v>
      </c>
      <c r="N874">
        <f t="shared" si="14"/>
        <v>3171.380000000001</v>
      </c>
      <c r="O874" t="s">
        <v>38</v>
      </c>
      <c r="P874" t="s">
        <v>31</v>
      </c>
      <c r="Q874" t="s">
        <v>39</v>
      </c>
    </row>
    <row r="875" spans="1:17" x14ac:dyDescent="0.3">
      <c r="A875" t="s">
        <v>953</v>
      </c>
      <c r="B875" s="1">
        <v>45341</v>
      </c>
      <c r="C875" t="s">
        <v>49</v>
      </c>
      <c r="D875" t="s">
        <v>41</v>
      </c>
      <c r="E875" t="s">
        <v>67</v>
      </c>
      <c r="F875" t="s">
        <v>29</v>
      </c>
      <c r="G875" t="s">
        <v>68</v>
      </c>
      <c r="H875">
        <v>1200</v>
      </c>
      <c r="I875">
        <v>5</v>
      </c>
      <c r="J875">
        <v>15</v>
      </c>
      <c r="K875">
        <v>5</v>
      </c>
      <c r="L875">
        <v>5100</v>
      </c>
      <c r="M875">
        <v>5132.3</v>
      </c>
      <c r="N875">
        <f t="shared" si="14"/>
        <v>-32.300000000000182</v>
      </c>
      <c r="O875" t="s">
        <v>23</v>
      </c>
      <c r="P875" t="s">
        <v>24</v>
      </c>
      <c r="Q875" t="s">
        <v>25</v>
      </c>
    </row>
    <row r="876" spans="1:17" x14ac:dyDescent="0.3">
      <c r="A876" t="s">
        <v>954</v>
      </c>
      <c r="B876" s="1">
        <v>45296</v>
      </c>
      <c r="C876" t="s">
        <v>34</v>
      </c>
      <c r="D876" t="s">
        <v>70</v>
      </c>
      <c r="E876" t="s">
        <v>61</v>
      </c>
      <c r="F876" t="s">
        <v>29</v>
      </c>
      <c r="G876" t="s">
        <v>43</v>
      </c>
      <c r="H876">
        <v>2800</v>
      </c>
      <c r="I876">
        <v>1</v>
      </c>
      <c r="J876">
        <v>10</v>
      </c>
      <c r="K876">
        <v>5</v>
      </c>
      <c r="L876">
        <v>2520</v>
      </c>
      <c r="M876">
        <v>2436.65</v>
      </c>
      <c r="N876">
        <f t="shared" si="14"/>
        <v>83.349999999999909</v>
      </c>
      <c r="O876" t="s">
        <v>23</v>
      </c>
      <c r="P876" t="s">
        <v>31</v>
      </c>
      <c r="Q876" t="s">
        <v>32</v>
      </c>
    </row>
    <row r="877" spans="1:17" x14ac:dyDescent="0.3">
      <c r="A877" t="s">
        <v>955</v>
      </c>
      <c r="B877" s="1">
        <v>45321</v>
      </c>
      <c r="C877" t="s">
        <v>53</v>
      </c>
      <c r="D877" t="s">
        <v>41</v>
      </c>
      <c r="E877" t="s">
        <v>104</v>
      </c>
      <c r="F877" t="s">
        <v>29</v>
      </c>
      <c r="G877" t="s">
        <v>30</v>
      </c>
      <c r="H877">
        <v>1200</v>
      </c>
      <c r="I877">
        <v>13</v>
      </c>
      <c r="J877">
        <v>10</v>
      </c>
      <c r="K877">
        <v>5</v>
      </c>
      <c r="L877">
        <v>14040</v>
      </c>
      <c r="M877">
        <v>13970.27</v>
      </c>
      <c r="N877">
        <f t="shared" si="14"/>
        <v>69.729999999999563</v>
      </c>
      <c r="O877" t="s">
        <v>23</v>
      </c>
      <c r="P877" t="s">
        <v>31</v>
      </c>
      <c r="Q877" t="s">
        <v>32</v>
      </c>
    </row>
    <row r="878" spans="1:17" x14ac:dyDescent="0.3">
      <c r="A878" t="s">
        <v>956</v>
      </c>
      <c r="B878" s="1">
        <v>45348</v>
      </c>
      <c r="C878" t="s">
        <v>34</v>
      </c>
      <c r="D878" t="s">
        <v>92</v>
      </c>
      <c r="E878" t="s">
        <v>151</v>
      </c>
      <c r="F878" t="s">
        <v>141</v>
      </c>
      <c r="G878" t="s">
        <v>142</v>
      </c>
      <c r="H878">
        <v>3500</v>
      </c>
      <c r="I878">
        <v>5</v>
      </c>
      <c r="J878">
        <v>5</v>
      </c>
      <c r="K878">
        <v>10</v>
      </c>
      <c r="L878">
        <v>16625</v>
      </c>
      <c r="M878">
        <v>16813.060000000001</v>
      </c>
      <c r="N878">
        <f t="shared" si="14"/>
        <v>-188.06000000000131</v>
      </c>
      <c r="O878" t="s">
        <v>38</v>
      </c>
      <c r="P878" t="s">
        <v>24</v>
      </c>
      <c r="Q878" t="s">
        <v>39</v>
      </c>
    </row>
    <row r="879" spans="1:17" x14ac:dyDescent="0.3">
      <c r="A879" t="s">
        <v>957</v>
      </c>
      <c r="B879" s="1">
        <v>45320</v>
      </c>
      <c r="C879" t="s">
        <v>49</v>
      </c>
      <c r="D879" t="s">
        <v>27</v>
      </c>
      <c r="E879" t="s">
        <v>104</v>
      </c>
      <c r="F879" t="s">
        <v>29</v>
      </c>
      <c r="G879" t="s">
        <v>30</v>
      </c>
      <c r="H879">
        <v>1200</v>
      </c>
      <c r="I879">
        <v>13</v>
      </c>
      <c r="J879">
        <v>15</v>
      </c>
      <c r="K879">
        <v>0</v>
      </c>
      <c r="L879">
        <v>13260</v>
      </c>
      <c r="M879">
        <v>11649.34</v>
      </c>
      <c r="N879">
        <f t="shared" si="14"/>
        <v>1610.6599999999999</v>
      </c>
      <c r="O879" t="s">
        <v>23</v>
      </c>
      <c r="P879" t="s">
        <v>31</v>
      </c>
      <c r="Q879" t="s">
        <v>32</v>
      </c>
    </row>
    <row r="880" spans="1:17" x14ac:dyDescent="0.3">
      <c r="A880" t="s">
        <v>958</v>
      </c>
      <c r="B880" s="1">
        <v>45356</v>
      </c>
      <c r="C880" t="s">
        <v>49</v>
      </c>
      <c r="D880" t="s">
        <v>19</v>
      </c>
      <c r="E880" t="s">
        <v>50</v>
      </c>
      <c r="F880" t="s">
        <v>21</v>
      </c>
      <c r="G880" t="s">
        <v>51</v>
      </c>
      <c r="H880">
        <v>4500</v>
      </c>
      <c r="I880">
        <v>11</v>
      </c>
      <c r="J880">
        <v>15</v>
      </c>
      <c r="K880">
        <v>10</v>
      </c>
      <c r="L880">
        <v>42075</v>
      </c>
      <c r="M880">
        <v>39915.919999999998</v>
      </c>
      <c r="N880">
        <f t="shared" si="14"/>
        <v>2159.0800000000017</v>
      </c>
      <c r="O880" t="s">
        <v>23</v>
      </c>
      <c r="P880" t="s">
        <v>31</v>
      </c>
      <c r="Q880" t="s">
        <v>32</v>
      </c>
    </row>
    <row r="881" spans="1:17" x14ac:dyDescent="0.3">
      <c r="A881" t="s">
        <v>959</v>
      </c>
      <c r="B881" s="1">
        <v>45303</v>
      </c>
      <c r="C881" t="s">
        <v>49</v>
      </c>
      <c r="D881" t="s">
        <v>41</v>
      </c>
      <c r="E881" t="s">
        <v>81</v>
      </c>
      <c r="F881" t="s">
        <v>21</v>
      </c>
      <c r="G881" t="s">
        <v>82</v>
      </c>
      <c r="H881">
        <v>8000</v>
      </c>
      <c r="I881">
        <v>13</v>
      </c>
      <c r="J881">
        <v>10</v>
      </c>
      <c r="K881">
        <v>5</v>
      </c>
      <c r="L881">
        <v>93600</v>
      </c>
      <c r="M881">
        <v>89414.35</v>
      </c>
      <c r="N881">
        <f t="shared" si="14"/>
        <v>4185.6499999999942</v>
      </c>
      <c r="O881" t="s">
        <v>23</v>
      </c>
      <c r="P881" t="s">
        <v>31</v>
      </c>
      <c r="Q881" t="s">
        <v>32</v>
      </c>
    </row>
    <row r="882" spans="1:17" x14ac:dyDescent="0.3">
      <c r="A882" t="s">
        <v>960</v>
      </c>
      <c r="B882" s="1">
        <v>45339</v>
      </c>
      <c r="C882" t="s">
        <v>53</v>
      </c>
      <c r="D882" t="s">
        <v>35</v>
      </c>
      <c r="E882" t="s">
        <v>54</v>
      </c>
      <c r="F882" t="s">
        <v>46</v>
      </c>
      <c r="G882" t="s">
        <v>55</v>
      </c>
      <c r="H882">
        <v>4500</v>
      </c>
      <c r="I882">
        <v>6</v>
      </c>
      <c r="J882">
        <v>5</v>
      </c>
      <c r="K882">
        <v>0</v>
      </c>
      <c r="L882">
        <v>25650</v>
      </c>
      <c r="M882">
        <v>25608.9</v>
      </c>
      <c r="N882">
        <f t="shared" si="14"/>
        <v>41.099999999998545</v>
      </c>
      <c r="O882" t="s">
        <v>23</v>
      </c>
      <c r="P882" t="s">
        <v>31</v>
      </c>
      <c r="Q882" t="s">
        <v>32</v>
      </c>
    </row>
    <row r="883" spans="1:17" x14ac:dyDescent="0.3">
      <c r="A883" t="s">
        <v>961</v>
      </c>
      <c r="B883" s="1">
        <v>45465</v>
      </c>
      <c r="C883" t="s">
        <v>34</v>
      </c>
      <c r="D883" t="s">
        <v>92</v>
      </c>
      <c r="E883" t="s">
        <v>90</v>
      </c>
      <c r="F883" t="s">
        <v>29</v>
      </c>
      <c r="G883" t="s">
        <v>37</v>
      </c>
      <c r="H883">
        <v>6500</v>
      </c>
      <c r="I883">
        <v>10</v>
      </c>
      <c r="J883">
        <v>15</v>
      </c>
      <c r="K883">
        <v>10</v>
      </c>
      <c r="L883">
        <v>55250</v>
      </c>
      <c r="M883">
        <v>57405.09</v>
      </c>
      <c r="N883">
        <f t="shared" si="14"/>
        <v>-2155.0899999999965</v>
      </c>
      <c r="O883" t="s">
        <v>23</v>
      </c>
      <c r="P883" t="s">
        <v>24</v>
      </c>
      <c r="Q883" t="s">
        <v>25</v>
      </c>
    </row>
    <row r="884" spans="1:17" x14ac:dyDescent="0.3">
      <c r="A884" t="s">
        <v>962</v>
      </c>
      <c r="B884" s="1">
        <v>45365</v>
      </c>
      <c r="C884" t="s">
        <v>34</v>
      </c>
      <c r="D884" t="s">
        <v>41</v>
      </c>
      <c r="E884" t="s">
        <v>28</v>
      </c>
      <c r="F884" t="s">
        <v>29</v>
      </c>
      <c r="G884" t="s">
        <v>30</v>
      </c>
      <c r="H884">
        <v>1800</v>
      </c>
      <c r="I884">
        <v>7</v>
      </c>
      <c r="J884">
        <v>5</v>
      </c>
      <c r="K884">
        <v>5</v>
      </c>
      <c r="L884">
        <v>11970</v>
      </c>
      <c r="M884">
        <v>11015.28</v>
      </c>
      <c r="N884">
        <f t="shared" si="14"/>
        <v>954.71999999999935</v>
      </c>
      <c r="O884" t="s">
        <v>23</v>
      </c>
      <c r="P884" t="s">
        <v>31</v>
      </c>
      <c r="Q884" t="s">
        <v>32</v>
      </c>
    </row>
    <row r="885" spans="1:17" x14ac:dyDescent="0.3">
      <c r="A885" t="s">
        <v>963</v>
      </c>
      <c r="B885" s="1">
        <v>45454</v>
      </c>
      <c r="C885" t="s">
        <v>53</v>
      </c>
      <c r="D885" t="s">
        <v>70</v>
      </c>
      <c r="E885" t="s">
        <v>104</v>
      </c>
      <c r="F885" t="s">
        <v>29</v>
      </c>
      <c r="G885" t="s">
        <v>30</v>
      </c>
      <c r="H885">
        <v>1200</v>
      </c>
      <c r="I885">
        <v>6</v>
      </c>
      <c r="J885">
        <v>10</v>
      </c>
      <c r="K885">
        <v>15</v>
      </c>
      <c r="L885">
        <v>6480</v>
      </c>
      <c r="M885">
        <v>5802.1</v>
      </c>
      <c r="N885">
        <f t="shared" si="14"/>
        <v>677.89999999999964</v>
      </c>
      <c r="O885" t="s">
        <v>38</v>
      </c>
      <c r="P885" t="s">
        <v>31</v>
      </c>
      <c r="Q885" t="s">
        <v>39</v>
      </c>
    </row>
    <row r="886" spans="1:17" x14ac:dyDescent="0.3">
      <c r="A886" t="s">
        <v>964</v>
      </c>
      <c r="B886" s="1">
        <v>45422</v>
      </c>
      <c r="C886" t="s">
        <v>53</v>
      </c>
      <c r="D886" t="s">
        <v>35</v>
      </c>
      <c r="E886" t="s">
        <v>151</v>
      </c>
      <c r="F886" t="s">
        <v>141</v>
      </c>
      <c r="G886" t="s">
        <v>142</v>
      </c>
      <c r="H886">
        <v>3500</v>
      </c>
      <c r="I886">
        <v>14</v>
      </c>
      <c r="J886">
        <v>10</v>
      </c>
      <c r="K886">
        <v>10</v>
      </c>
      <c r="L886">
        <v>44100</v>
      </c>
      <c r="M886">
        <v>43990.86</v>
      </c>
      <c r="N886">
        <f t="shared" si="14"/>
        <v>109.13999999999942</v>
      </c>
      <c r="O886" t="s">
        <v>23</v>
      </c>
      <c r="P886" t="s">
        <v>31</v>
      </c>
      <c r="Q886" t="s">
        <v>32</v>
      </c>
    </row>
    <row r="887" spans="1:17" x14ac:dyDescent="0.3">
      <c r="A887" t="s">
        <v>965</v>
      </c>
      <c r="B887" s="1">
        <v>45388</v>
      </c>
      <c r="C887" t="s">
        <v>53</v>
      </c>
      <c r="D887" t="s">
        <v>35</v>
      </c>
      <c r="E887" t="s">
        <v>63</v>
      </c>
      <c r="F887" t="s">
        <v>64</v>
      </c>
      <c r="G887" t="s">
        <v>65</v>
      </c>
      <c r="H887">
        <v>4000</v>
      </c>
      <c r="I887">
        <v>10</v>
      </c>
      <c r="J887">
        <v>5</v>
      </c>
      <c r="K887">
        <v>10</v>
      </c>
      <c r="L887">
        <v>38000</v>
      </c>
      <c r="M887">
        <v>33987.86</v>
      </c>
      <c r="N887">
        <f t="shared" si="14"/>
        <v>4012.1399999999994</v>
      </c>
      <c r="O887" t="s">
        <v>38</v>
      </c>
      <c r="P887" t="s">
        <v>31</v>
      </c>
      <c r="Q887" t="s">
        <v>39</v>
      </c>
    </row>
    <row r="888" spans="1:17" x14ac:dyDescent="0.3">
      <c r="A888" t="s">
        <v>966</v>
      </c>
      <c r="B888" s="1">
        <v>45340</v>
      </c>
      <c r="C888" t="s">
        <v>34</v>
      </c>
      <c r="D888" t="s">
        <v>92</v>
      </c>
      <c r="E888" t="s">
        <v>67</v>
      </c>
      <c r="F888" t="s">
        <v>29</v>
      </c>
      <c r="G888" t="s">
        <v>68</v>
      </c>
      <c r="H888">
        <v>1200</v>
      </c>
      <c r="I888">
        <v>11</v>
      </c>
      <c r="J888">
        <v>10</v>
      </c>
      <c r="K888">
        <v>20</v>
      </c>
      <c r="L888">
        <v>11880</v>
      </c>
      <c r="M888">
        <v>12288.88</v>
      </c>
      <c r="N888">
        <f t="shared" si="14"/>
        <v>-408.8799999999992</v>
      </c>
      <c r="O888" t="s">
        <v>38</v>
      </c>
      <c r="P888" t="s">
        <v>24</v>
      </c>
      <c r="Q888" t="s">
        <v>39</v>
      </c>
    </row>
    <row r="889" spans="1:17" x14ac:dyDescent="0.3">
      <c r="A889" t="s">
        <v>967</v>
      </c>
      <c r="B889" s="1">
        <v>45335</v>
      </c>
      <c r="C889" t="s">
        <v>18</v>
      </c>
      <c r="D889" t="s">
        <v>41</v>
      </c>
      <c r="E889" t="s">
        <v>104</v>
      </c>
      <c r="F889" t="s">
        <v>29</v>
      </c>
      <c r="G889" t="s">
        <v>30</v>
      </c>
      <c r="H889">
        <v>1200</v>
      </c>
      <c r="I889">
        <v>3</v>
      </c>
      <c r="J889">
        <v>10</v>
      </c>
      <c r="K889">
        <v>5</v>
      </c>
      <c r="L889">
        <v>3240</v>
      </c>
      <c r="M889">
        <v>3218.79</v>
      </c>
      <c r="N889">
        <f t="shared" si="14"/>
        <v>21.210000000000036</v>
      </c>
      <c r="O889" t="s">
        <v>23</v>
      </c>
      <c r="P889" t="s">
        <v>31</v>
      </c>
      <c r="Q889" t="s">
        <v>32</v>
      </c>
    </row>
    <row r="890" spans="1:17" x14ac:dyDescent="0.3">
      <c r="A890" t="s">
        <v>968</v>
      </c>
      <c r="B890" s="1">
        <v>45418</v>
      </c>
      <c r="C890" t="s">
        <v>53</v>
      </c>
      <c r="D890" t="s">
        <v>92</v>
      </c>
      <c r="E890" t="s">
        <v>81</v>
      </c>
      <c r="F890" t="s">
        <v>21</v>
      </c>
      <c r="G890" t="s">
        <v>82</v>
      </c>
      <c r="H890">
        <v>8000</v>
      </c>
      <c r="I890">
        <v>7</v>
      </c>
      <c r="J890">
        <v>5</v>
      </c>
      <c r="K890">
        <v>5</v>
      </c>
      <c r="L890">
        <v>53200</v>
      </c>
      <c r="M890">
        <v>51050.09</v>
      </c>
      <c r="N890">
        <f t="shared" si="14"/>
        <v>2149.9100000000035</v>
      </c>
      <c r="O890" t="s">
        <v>23</v>
      </c>
      <c r="P890" t="s">
        <v>31</v>
      </c>
      <c r="Q890" t="s">
        <v>32</v>
      </c>
    </row>
    <row r="891" spans="1:17" x14ac:dyDescent="0.3">
      <c r="A891" t="s">
        <v>969</v>
      </c>
      <c r="B891" s="1">
        <v>45335</v>
      </c>
      <c r="C891" t="s">
        <v>18</v>
      </c>
      <c r="D891" t="s">
        <v>41</v>
      </c>
      <c r="E891" t="s">
        <v>100</v>
      </c>
      <c r="F891" t="s">
        <v>46</v>
      </c>
      <c r="G891" t="s">
        <v>55</v>
      </c>
      <c r="H891">
        <v>2500</v>
      </c>
      <c r="I891">
        <v>5</v>
      </c>
      <c r="J891">
        <v>5</v>
      </c>
      <c r="K891">
        <v>0</v>
      </c>
      <c r="L891">
        <v>11875</v>
      </c>
      <c r="M891">
        <v>10108.959999999999</v>
      </c>
      <c r="N891">
        <f t="shared" si="14"/>
        <v>1766.0400000000009</v>
      </c>
      <c r="O891" t="s">
        <v>23</v>
      </c>
      <c r="P891" t="s">
        <v>31</v>
      </c>
      <c r="Q891" t="s">
        <v>32</v>
      </c>
    </row>
    <row r="892" spans="1:17" x14ac:dyDescent="0.3">
      <c r="A892" t="s">
        <v>970</v>
      </c>
      <c r="B892" s="1">
        <v>45442</v>
      </c>
      <c r="C892" t="s">
        <v>49</v>
      </c>
      <c r="D892" t="s">
        <v>70</v>
      </c>
      <c r="E892" t="s">
        <v>54</v>
      </c>
      <c r="F892" t="s">
        <v>46</v>
      </c>
      <c r="G892" t="s">
        <v>55</v>
      </c>
      <c r="H892">
        <v>4500</v>
      </c>
      <c r="I892">
        <v>10</v>
      </c>
      <c r="J892">
        <v>15</v>
      </c>
      <c r="K892">
        <v>0</v>
      </c>
      <c r="L892">
        <v>38250</v>
      </c>
      <c r="M892">
        <v>37280.76</v>
      </c>
      <c r="N892">
        <f t="shared" si="14"/>
        <v>969.23999999999796</v>
      </c>
      <c r="O892" t="s">
        <v>23</v>
      </c>
      <c r="P892" t="s">
        <v>31</v>
      </c>
      <c r="Q892" t="s">
        <v>32</v>
      </c>
    </row>
    <row r="893" spans="1:17" x14ac:dyDescent="0.3">
      <c r="A893" t="s">
        <v>971</v>
      </c>
      <c r="B893" s="1">
        <v>45418</v>
      </c>
      <c r="C893" t="s">
        <v>53</v>
      </c>
      <c r="D893" t="s">
        <v>41</v>
      </c>
      <c r="E893" t="s">
        <v>67</v>
      </c>
      <c r="F893" t="s">
        <v>29</v>
      </c>
      <c r="G893" t="s">
        <v>68</v>
      </c>
      <c r="H893">
        <v>1200</v>
      </c>
      <c r="I893">
        <v>3</v>
      </c>
      <c r="J893">
        <v>10</v>
      </c>
      <c r="K893">
        <v>10</v>
      </c>
      <c r="L893">
        <v>3240</v>
      </c>
      <c r="M893">
        <v>2872.15</v>
      </c>
      <c r="N893">
        <f t="shared" si="14"/>
        <v>367.84999999999991</v>
      </c>
      <c r="O893" t="s">
        <v>23</v>
      </c>
      <c r="P893" t="s">
        <v>31</v>
      </c>
      <c r="Q893" t="s">
        <v>32</v>
      </c>
    </row>
    <row r="894" spans="1:17" x14ac:dyDescent="0.3">
      <c r="A894" t="s">
        <v>972</v>
      </c>
      <c r="B894" s="1">
        <v>45366</v>
      </c>
      <c r="C894" t="s">
        <v>18</v>
      </c>
      <c r="D894" t="s">
        <v>70</v>
      </c>
      <c r="E894" t="s">
        <v>28</v>
      </c>
      <c r="F894" t="s">
        <v>29</v>
      </c>
      <c r="G894" t="s">
        <v>30</v>
      </c>
      <c r="H894">
        <v>1800</v>
      </c>
      <c r="I894">
        <v>13</v>
      </c>
      <c r="J894">
        <v>15</v>
      </c>
      <c r="K894">
        <v>5</v>
      </c>
      <c r="L894">
        <v>19890</v>
      </c>
      <c r="M894">
        <v>17876.47</v>
      </c>
      <c r="N894">
        <f t="shared" si="14"/>
        <v>2013.5299999999988</v>
      </c>
      <c r="O894" t="s">
        <v>23</v>
      </c>
      <c r="P894" t="s">
        <v>31</v>
      </c>
      <c r="Q894" t="s">
        <v>32</v>
      </c>
    </row>
    <row r="895" spans="1:17" x14ac:dyDescent="0.3">
      <c r="A895" t="s">
        <v>973</v>
      </c>
      <c r="B895" s="1">
        <v>45433</v>
      </c>
      <c r="C895" t="s">
        <v>18</v>
      </c>
      <c r="D895" t="s">
        <v>41</v>
      </c>
      <c r="E895" t="s">
        <v>107</v>
      </c>
      <c r="F895" t="s">
        <v>108</v>
      </c>
      <c r="G895" t="s">
        <v>109</v>
      </c>
      <c r="H895">
        <v>18000</v>
      </c>
      <c r="I895">
        <v>8</v>
      </c>
      <c r="J895">
        <v>10</v>
      </c>
      <c r="K895">
        <v>10</v>
      </c>
      <c r="L895">
        <v>129600</v>
      </c>
      <c r="M895">
        <v>123753.60000000001</v>
      </c>
      <c r="N895">
        <f t="shared" si="14"/>
        <v>5846.3999999999942</v>
      </c>
      <c r="O895" t="s">
        <v>23</v>
      </c>
      <c r="P895" t="s">
        <v>31</v>
      </c>
      <c r="Q895" t="s">
        <v>32</v>
      </c>
    </row>
    <row r="896" spans="1:17" x14ac:dyDescent="0.3">
      <c r="A896" t="s">
        <v>974</v>
      </c>
      <c r="B896" s="1">
        <v>45420</v>
      </c>
      <c r="C896" t="s">
        <v>18</v>
      </c>
      <c r="D896" t="s">
        <v>35</v>
      </c>
      <c r="E896" t="s">
        <v>100</v>
      </c>
      <c r="F896" t="s">
        <v>46</v>
      </c>
      <c r="G896" t="s">
        <v>55</v>
      </c>
      <c r="H896">
        <v>2500</v>
      </c>
      <c r="I896">
        <v>11</v>
      </c>
      <c r="J896">
        <v>15</v>
      </c>
      <c r="K896">
        <v>20</v>
      </c>
      <c r="L896">
        <v>23375</v>
      </c>
      <c r="M896">
        <v>23931.95</v>
      </c>
      <c r="N896">
        <f t="shared" si="14"/>
        <v>-556.95000000000073</v>
      </c>
      <c r="O896" t="s">
        <v>38</v>
      </c>
      <c r="P896" t="s">
        <v>24</v>
      </c>
      <c r="Q896" t="s">
        <v>39</v>
      </c>
    </row>
    <row r="897" spans="1:17" x14ac:dyDescent="0.3">
      <c r="A897" t="s">
        <v>975</v>
      </c>
      <c r="B897" s="1">
        <v>45395</v>
      </c>
      <c r="C897" t="s">
        <v>53</v>
      </c>
      <c r="D897" t="s">
        <v>70</v>
      </c>
      <c r="E897" t="s">
        <v>28</v>
      </c>
      <c r="F897" t="s">
        <v>29</v>
      </c>
      <c r="G897" t="s">
        <v>30</v>
      </c>
      <c r="H897">
        <v>1800</v>
      </c>
      <c r="I897">
        <v>2</v>
      </c>
      <c r="J897">
        <v>10</v>
      </c>
      <c r="K897">
        <v>0</v>
      </c>
      <c r="L897">
        <v>3240</v>
      </c>
      <c r="M897">
        <v>2843.38</v>
      </c>
      <c r="N897">
        <f t="shared" si="14"/>
        <v>396.61999999999989</v>
      </c>
      <c r="O897" t="s">
        <v>23</v>
      </c>
      <c r="P897" t="s">
        <v>31</v>
      </c>
      <c r="Q897" t="s">
        <v>32</v>
      </c>
    </row>
    <row r="898" spans="1:17" x14ac:dyDescent="0.3">
      <c r="A898" t="s">
        <v>976</v>
      </c>
      <c r="B898" s="1">
        <v>45399</v>
      </c>
      <c r="C898" t="s">
        <v>53</v>
      </c>
      <c r="D898" t="s">
        <v>70</v>
      </c>
      <c r="E898" t="s">
        <v>75</v>
      </c>
      <c r="F898" t="s">
        <v>76</v>
      </c>
      <c r="G898" t="s">
        <v>77</v>
      </c>
      <c r="H898">
        <v>8000</v>
      </c>
      <c r="I898">
        <v>3</v>
      </c>
      <c r="J898">
        <v>10</v>
      </c>
      <c r="K898">
        <v>5</v>
      </c>
      <c r="L898">
        <v>21600</v>
      </c>
      <c r="M898">
        <v>22638.93</v>
      </c>
      <c r="N898">
        <f t="shared" si="14"/>
        <v>-1038.9300000000003</v>
      </c>
      <c r="O898" t="s">
        <v>23</v>
      </c>
      <c r="P898" t="s">
        <v>24</v>
      </c>
      <c r="Q898" t="s">
        <v>25</v>
      </c>
    </row>
    <row r="899" spans="1:17" x14ac:dyDescent="0.3">
      <c r="A899" t="s">
        <v>977</v>
      </c>
      <c r="B899" s="1">
        <v>45421</v>
      </c>
      <c r="C899" t="s">
        <v>53</v>
      </c>
      <c r="D899" t="s">
        <v>19</v>
      </c>
      <c r="E899" t="s">
        <v>45</v>
      </c>
      <c r="F899" t="s">
        <v>46</v>
      </c>
      <c r="G899" t="s">
        <v>47</v>
      </c>
      <c r="H899">
        <v>15000</v>
      </c>
      <c r="I899">
        <v>1</v>
      </c>
      <c r="J899">
        <v>15</v>
      </c>
      <c r="K899">
        <v>25</v>
      </c>
      <c r="L899">
        <v>12750</v>
      </c>
      <c r="M899">
        <v>12336.1</v>
      </c>
      <c r="N899">
        <f t="shared" ref="N899:N962" si="15">L899-M899</f>
        <v>413.89999999999964</v>
      </c>
      <c r="O899" t="s">
        <v>38</v>
      </c>
      <c r="P899" t="s">
        <v>31</v>
      </c>
      <c r="Q899" t="s">
        <v>39</v>
      </c>
    </row>
    <row r="900" spans="1:17" x14ac:dyDescent="0.3">
      <c r="A900" t="s">
        <v>978</v>
      </c>
      <c r="B900" s="1">
        <v>45307</v>
      </c>
      <c r="C900" t="s">
        <v>18</v>
      </c>
      <c r="D900" t="s">
        <v>19</v>
      </c>
      <c r="E900" t="s">
        <v>63</v>
      </c>
      <c r="F900" t="s">
        <v>64</v>
      </c>
      <c r="G900" t="s">
        <v>65</v>
      </c>
      <c r="H900">
        <v>4000</v>
      </c>
      <c r="I900">
        <v>5</v>
      </c>
      <c r="J900">
        <v>15</v>
      </c>
      <c r="K900">
        <v>25</v>
      </c>
      <c r="L900">
        <v>17000</v>
      </c>
      <c r="M900">
        <v>14861.79</v>
      </c>
      <c r="N900">
        <f t="shared" si="15"/>
        <v>2138.2099999999991</v>
      </c>
      <c r="O900" t="s">
        <v>38</v>
      </c>
      <c r="P900" t="s">
        <v>31</v>
      </c>
      <c r="Q900" t="s">
        <v>39</v>
      </c>
    </row>
    <row r="901" spans="1:17" x14ac:dyDescent="0.3">
      <c r="A901" t="s">
        <v>979</v>
      </c>
      <c r="B901" s="1">
        <v>45417</v>
      </c>
      <c r="C901" t="s">
        <v>34</v>
      </c>
      <c r="D901" t="s">
        <v>70</v>
      </c>
      <c r="E901" t="s">
        <v>28</v>
      </c>
      <c r="F901" t="s">
        <v>29</v>
      </c>
      <c r="G901" t="s">
        <v>30</v>
      </c>
      <c r="H901">
        <v>1800</v>
      </c>
      <c r="I901">
        <v>8</v>
      </c>
      <c r="J901">
        <v>10</v>
      </c>
      <c r="K901">
        <v>5</v>
      </c>
      <c r="L901">
        <v>12960</v>
      </c>
      <c r="M901">
        <v>13092.66</v>
      </c>
      <c r="N901">
        <f t="shared" si="15"/>
        <v>-132.65999999999985</v>
      </c>
      <c r="O901" t="s">
        <v>23</v>
      </c>
      <c r="P901" t="s">
        <v>24</v>
      </c>
      <c r="Q901" t="s">
        <v>25</v>
      </c>
    </row>
    <row r="902" spans="1:17" x14ac:dyDescent="0.3">
      <c r="A902" t="s">
        <v>980</v>
      </c>
      <c r="B902" s="1">
        <v>45319</v>
      </c>
      <c r="C902" t="s">
        <v>18</v>
      </c>
      <c r="D902" t="s">
        <v>70</v>
      </c>
      <c r="E902" t="s">
        <v>155</v>
      </c>
      <c r="F902" t="s">
        <v>21</v>
      </c>
      <c r="G902" t="s">
        <v>72</v>
      </c>
      <c r="H902">
        <v>35000</v>
      </c>
      <c r="I902">
        <v>3</v>
      </c>
      <c r="J902">
        <v>10</v>
      </c>
      <c r="K902">
        <v>15</v>
      </c>
      <c r="L902">
        <v>94500</v>
      </c>
      <c r="M902">
        <v>95993.91</v>
      </c>
      <c r="N902">
        <f t="shared" si="15"/>
        <v>-1493.9100000000035</v>
      </c>
      <c r="O902" t="s">
        <v>38</v>
      </c>
      <c r="P902" t="s">
        <v>24</v>
      </c>
      <c r="Q902" t="s">
        <v>39</v>
      </c>
    </row>
    <row r="903" spans="1:17" x14ac:dyDescent="0.3">
      <c r="A903" t="s">
        <v>981</v>
      </c>
      <c r="B903" s="1">
        <v>45408</v>
      </c>
      <c r="C903" t="s">
        <v>49</v>
      </c>
      <c r="D903" t="s">
        <v>27</v>
      </c>
      <c r="E903" t="s">
        <v>140</v>
      </c>
      <c r="F903" t="s">
        <v>141</v>
      </c>
      <c r="G903" t="s">
        <v>142</v>
      </c>
      <c r="H903">
        <v>12000</v>
      </c>
      <c r="I903">
        <v>4</v>
      </c>
      <c r="J903">
        <v>15</v>
      </c>
      <c r="K903">
        <v>20</v>
      </c>
      <c r="L903">
        <v>40800</v>
      </c>
      <c r="M903">
        <v>37934.81</v>
      </c>
      <c r="N903">
        <f t="shared" si="15"/>
        <v>2865.1900000000023</v>
      </c>
      <c r="O903" t="s">
        <v>38</v>
      </c>
      <c r="P903" t="s">
        <v>31</v>
      </c>
      <c r="Q903" t="s">
        <v>39</v>
      </c>
    </row>
    <row r="904" spans="1:17" x14ac:dyDescent="0.3">
      <c r="A904" t="s">
        <v>982</v>
      </c>
      <c r="B904" s="1">
        <v>45366</v>
      </c>
      <c r="C904" t="s">
        <v>18</v>
      </c>
      <c r="D904" t="s">
        <v>19</v>
      </c>
      <c r="E904" t="s">
        <v>67</v>
      </c>
      <c r="F904" t="s">
        <v>29</v>
      </c>
      <c r="G904" t="s">
        <v>68</v>
      </c>
      <c r="H904">
        <v>1200</v>
      </c>
      <c r="I904">
        <v>14</v>
      </c>
      <c r="J904">
        <v>10</v>
      </c>
      <c r="K904">
        <v>5</v>
      </c>
      <c r="L904">
        <v>15120</v>
      </c>
      <c r="M904">
        <v>14958.55</v>
      </c>
      <c r="N904">
        <f t="shared" si="15"/>
        <v>161.45000000000073</v>
      </c>
      <c r="O904" t="s">
        <v>23</v>
      </c>
      <c r="P904" t="s">
        <v>31</v>
      </c>
      <c r="Q904" t="s">
        <v>32</v>
      </c>
    </row>
    <row r="905" spans="1:17" x14ac:dyDescent="0.3">
      <c r="A905" t="s">
        <v>983</v>
      </c>
      <c r="B905" s="1">
        <v>45395</v>
      </c>
      <c r="C905" t="s">
        <v>49</v>
      </c>
      <c r="D905" t="s">
        <v>41</v>
      </c>
      <c r="E905" t="s">
        <v>75</v>
      </c>
      <c r="F905" t="s">
        <v>76</v>
      </c>
      <c r="G905" t="s">
        <v>77</v>
      </c>
      <c r="H905">
        <v>8000</v>
      </c>
      <c r="I905">
        <v>12</v>
      </c>
      <c r="J905">
        <v>15</v>
      </c>
      <c r="K905">
        <v>5</v>
      </c>
      <c r="L905">
        <v>81600</v>
      </c>
      <c r="M905">
        <v>73298.429999999993</v>
      </c>
      <c r="N905">
        <f t="shared" si="15"/>
        <v>8301.570000000007</v>
      </c>
      <c r="O905" t="s">
        <v>23</v>
      </c>
      <c r="P905" t="s">
        <v>31</v>
      </c>
      <c r="Q905" t="s">
        <v>32</v>
      </c>
    </row>
    <row r="906" spans="1:17" x14ac:dyDescent="0.3">
      <c r="A906" t="s">
        <v>984</v>
      </c>
      <c r="B906" s="1">
        <v>45425</v>
      </c>
      <c r="C906" t="s">
        <v>53</v>
      </c>
      <c r="D906" t="s">
        <v>19</v>
      </c>
      <c r="E906" t="s">
        <v>102</v>
      </c>
      <c r="F906" t="s">
        <v>29</v>
      </c>
      <c r="G906" t="s">
        <v>43</v>
      </c>
      <c r="H906">
        <v>1500</v>
      </c>
      <c r="I906">
        <v>11</v>
      </c>
      <c r="J906">
        <v>15</v>
      </c>
      <c r="K906">
        <v>10</v>
      </c>
      <c r="L906">
        <v>14025</v>
      </c>
      <c r="M906">
        <v>13563.97</v>
      </c>
      <c r="N906">
        <f t="shared" si="15"/>
        <v>461.03000000000065</v>
      </c>
      <c r="O906" t="s">
        <v>23</v>
      </c>
      <c r="P906" t="s">
        <v>31</v>
      </c>
      <c r="Q906" t="s">
        <v>32</v>
      </c>
    </row>
    <row r="907" spans="1:17" x14ac:dyDescent="0.3">
      <c r="A907" t="s">
        <v>985</v>
      </c>
      <c r="B907" s="1">
        <v>45427</v>
      </c>
      <c r="C907" t="s">
        <v>34</v>
      </c>
      <c r="D907" t="s">
        <v>41</v>
      </c>
      <c r="E907" t="s">
        <v>57</v>
      </c>
      <c r="F907" t="s">
        <v>46</v>
      </c>
      <c r="G907" t="s">
        <v>58</v>
      </c>
      <c r="H907">
        <v>18000</v>
      </c>
      <c r="I907">
        <v>8</v>
      </c>
      <c r="J907">
        <v>5</v>
      </c>
      <c r="K907">
        <v>25</v>
      </c>
      <c r="L907">
        <v>136800</v>
      </c>
      <c r="M907">
        <v>117801.12</v>
      </c>
      <c r="N907">
        <f t="shared" si="15"/>
        <v>18998.880000000005</v>
      </c>
      <c r="O907" t="s">
        <v>38</v>
      </c>
      <c r="P907" t="s">
        <v>31</v>
      </c>
      <c r="Q907" t="s">
        <v>39</v>
      </c>
    </row>
    <row r="908" spans="1:17" x14ac:dyDescent="0.3">
      <c r="A908" t="s">
        <v>986</v>
      </c>
      <c r="B908" s="1">
        <v>45369</v>
      </c>
      <c r="C908" t="s">
        <v>53</v>
      </c>
      <c r="D908" t="s">
        <v>27</v>
      </c>
      <c r="E908" t="s">
        <v>45</v>
      </c>
      <c r="F908" t="s">
        <v>46</v>
      </c>
      <c r="G908" t="s">
        <v>47</v>
      </c>
      <c r="H908">
        <v>15000</v>
      </c>
      <c r="I908">
        <v>13</v>
      </c>
      <c r="J908">
        <v>10</v>
      </c>
      <c r="K908">
        <v>25</v>
      </c>
      <c r="L908">
        <v>175500</v>
      </c>
      <c r="M908">
        <v>159549.34</v>
      </c>
      <c r="N908">
        <f t="shared" si="15"/>
        <v>15950.660000000003</v>
      </c>
      <c r="O908" t="s">
        <v>38</v>
      </c>
      <c r="P908" t="s">
        <v>31</v>
      </c>
      <c r="Q908" t="s">
        <v>39</v>
      </c>
    </row>
    <row r="909" spans="1:17" x14ac:dyDescent="0.3">
      <c r="A909" t="s">
        <v>987</v>
      </c>
      <c r="B909" s="1">
        <v>45358</v>
      </c>
      <c r="C909" t="s">
        <v>18</v>
      </c>
      <c r="D909" t="s">
        <v>92</v>
      </c>
      <c r="E909" t="s">
        <v>71</v>
      </c>
      <c r="F909" t="s">
        <v>21</v>
      </c>
      <c r="G909" t="s">
        <v>72</v>
      </c>
      <c r="H909">
        <v>60000</v>
      </c>
      <c r="I909">
        <v>4</v>
      </c>
      <c r="J909">
        <v>15</v>
      </c>
      <c r="K909">
        <v>20</v>
      </c>
      <c r="L909">
        <v>204000</v>
      </c>
      <c r="M909">
        <v>210877.63</v>
      </c>
      <c r="N909">
        <f t="shared" si="15"/>
        <v>-6877.6300000000047</v>
      </c>
      <c r="O909" t="s">
        <v>38</v>
      </c>
      <c r="P909" t="s">
        <v>24</v>
      </c>
      <c r="Q909" t="s">
        <v>39</v>
      </c>
    </row>
    <row r="910" spans="1:17" x14ac:dyDescent="0.3">
      <c r="A910" t="s">
        <v>988</v>
      </c>
      <c r="B910" s="1">
        <v>45399</v>
      </c>
      <c r="C910" t="s">
        <v>53</v>
      </c>
      <c r="D910" t="s">
        <v>27</v>
      </c>
      <c r="E910" t="s">
        <v>45</v>
      </c>
      <c r="F910" t="s">
        <v>46</v>
      </c>
      <c r="G910" t="s">
        <v>47</v>
      </c>
      <c r="H910">
        <v>15000</v>
      </c>
      <c r="I910">
        <v>1</v>
      </c>
      <c r="J910">
        <v>15</v>
      </c>
      <c r="K910">
        <v>15</v>
      </c>
      <c r="L910">
        <v>12750</v>
      </c>
      <c r="M910">
        <v>11550.17</v>
      </c>
      <c r="N910">
        <f t="shared" si="15"/>
        <v>1199.83</v>
      </c>
      <c r="O910" t="s">
        <v>23</v>
      </c>
      <c r="P910" t="s">
        <v>31</v>
      </c>
      <c r="Q910" t="s">
        <v>32</v>
      </c>
    </row>
    <row r="911" spans="1:17" x14ac:dyDescent="0.3">
      <c r="A911" t="s">
        <v>989</v>
      </c>
      <c r="B911" s="1">
        <v>45413</v>
      </c>
      <c r="C911" t="s">
        <v>34</v>
      </c>
      <c r="D911" t="s">
        <v>35</v>
      </c>
      <c r="E911" t="s">
        <v>57</v>
      </c>
      <c r="F911" t="s">
        <v>46</v>
      </c>
      <c r="G911" t="s">
        <v>58</v>
      </c>
      <c r="H911">
        <v>18000</v>
      </c>
      <c r="I911">
        <v>11</v>
      </c>
      <c r="J911">
        <v>15</v>
      </c>
      <c r="K911">
        <v>10</v>
      </c>
      <c r="L911">
        <v>168300</v>
      </c>
      <c r="M911">
        <v>166824.78</v>
      </c>
      <c r="N911">
        <f t="shared" si="15"/>
        <v>1475.2200000000012</v>
      </c>
      <c r="O911" t="s">
        <v>23</v>
      </c>
      <c r="P911" t="s">
        <v>31</v>
      </c>
      <c r="Q911" t="s">
        <v>32</v>
      </c>
    </row>
    <row r="912" spans="1:17" x14ac:dyDescent="0.3">
      <c r="A912" t="s">
        <v>990</v>
      </c>
      <c r="B912" s="1">
        <v>45428</v>
      </c>
      <c r="C912" t="s">
        <v>49</v>
      </c>
      <c r="D912" t="s">
        <v>41</v>
      </c>
      <c r="E912" t="s">
        <v>54</v>
      </c>
      <c r="F912" t="s">
        <v>46</v>
      </c>
      <c r="G912" t="s">
        <v>55</v>
      </c>
      <c r="H912">
        <v>4500</v>
      </c>
      <c r="I912">
        <v>4</v>
      </c>
      <c r="J912">
        <v>10</v>
      </c>
      <c r="K912">
        <v>25</v>
      </c>
      <c r="L912">
        <v>16200</v>
      </c>
      <c r="M912">
        <v>14830.67</v>
      </c>
      <c r="N912">
        <f t="shared" si="15"/>
        <v>1369.33</v>
      </c>
      <c r="O912" t="s">
        <v>38</v>
      </c>
      <c r="P912" t="s">
        <v>31</v>
      </c>
      <c r="Q912" t="s">
        <v>39</v>
      </c>
    </row>
    <row r="913" spans="1:17" x14ac:dyDescent="0.3">
      <c r="A913" t="s">
        <v>991</v>
      </c>
      <c r="B913" s="1">
        <v>45315</v>
      </c>
      <c r="C913" t="s">
        <v>53</v>
      </c>
      <c r="D913" t="s">
        <v>19</v>
      </c>
      <c r="E913" t="s">
        <v>71</v>
      </c>
      <c r="F913" t="s">
        <v>21</v>
      </c>
      <c r="G913" t="s">
        <v>72</v>
      </c>
      <c r="H913">
        <v>60000</v>
      </c>
      <c r="I913">
        <v>2</v>
      </c>
      <c r="J913">
        <v>5</v>
      </c>
      <c r="K913">
        <v>20</v>
      </c>
      <c r="L913">
        <v>114000</v>
      </c>
      <c r="M913">
        <v>117177.94</v>
      </c>
      <c r="N913">
        <f t="shared" si="15"/>
        <v>-3177.9400000000023</v>
      </c>
      <c r="O913" t="s">
        <v>38</v>
      </c>
      <c r="P913" t="s">
        <v>24</v>
      </c>
      <c r="Q913" t="s">
        <v>39</v>
      </c>
    </row>
    <row r="914" spans="1:17" x14ac:dyDescent="0.3">
      <c r="A914" t="s">
        <v>992</v>
      </c>
      <c r="B914" s="1">
        <v>45362</v>
      </c>
      <c r="C914" t="s">
        <v>49</v>
      </c>
      <c r="D914" t="s">
        <v>41</v>
      </c>
      <c r="E914" t="s">
        <v>50</v>
      </c>
      <c r="F914" t="s">
        <v>21</v>
      </c>
      <c r="G914" t="s">
        <v>51</v>
      </c>
      <c r="H914">
        <v>4500</v>
      </c>
      <c r="I914">
        <v>1</v>
      </c>
      <c r="J914">
        <v>15</v>
      </c>
      <c r="K914">
        <v>25</v>
      </c>
      <c r="L914">
        <v>3825</v>
      </c>
      <c r="M914">
        <v>3673.37</v>
      </c>
      <c r="N914">
        <f t="shared" si="15"/>
        <v>151.63000000000011</v>
      </c>
      <c r="O914" t="s">
        <v>38</v>
      </c>
      <c r="P914" t="s">
        <v>31</v>
      </c>
      <c r="Q914" t="s">
        <v>39</v>
      </c>
    </row>
    <row r="915" spans="1:17" x14ac:dyDescent="0.3">
      <c r="A915" t="s">
        <v>993</v>
      </c>
      <c r="B915" s="1">
        <v>45412</v>
      </c>
      <c r="C915" t="s">
        <v>53</v>
      </c>
      <c r="D915" t="s">
        <v>70</v>
      </c>
      <c r="E915" t="s">
        <v>102</v>
      </c>
      <c r="F915" t="s">
        <v>29</v>
      </c>
      <c r="G915" t="s">
        <v>43</v>
      </c>
      <c r="H915">
        <v>1500</v>
      </c>
      <c r="I915">
        <v>9</v>
      </c>
      <c r="J915">
        <v>10</v>
      </c>
      <c r="K915">
        <v>10</v>
      </c>
      <c r="L915">
        <v>12150</v>
      </c>
      <c r="M915">
        <v>11936.15</v>
      </c>
      <c r="N915">
        <f t="shared" si="15"/>
        <v>213.85000000000036</v>
      </c>
      <c r="O915" t="s">
        <v>23</v>
      </c>
      <c r="P915" t="s">
        <v>31</v>
      </c>
      <c r="Q915" t="s">
        <v>32</v>
      </c>
    </row>
    <row r="916" spans="1:17" x14ac:dyDescent="0.3">
      <c r="A916" t="s">
        <v>994</v>
      </c>
      <c r="B916" s="1">
        <v>45325</v>
      </c>
      <c r="C916" t="s">
        <v>49</v>
      </c>
      <c r="D916" t="s">
        <v>35</v>
      </c>
      <c r="E916" t="s">
        <v>104</v>
      </c>
      <c r="F916" t="s">
        <v>29</v>
      </c>
      <c r="G916" t="s">
        <v>30</v>
      </c>
      <c r="H916">
        <v>1200</v>
      </c>
      <c r="I916">
        <v>5</v>
      </c>
      <c r="J916">
        <v>5</v>
      </c>
      <c r="K916">
        <v>15</v>
      </c>
      <c r="L916">
        <v>5700</v>
      </c>
      <c r="M916">
        <v>5850.69</v>
      </c>
      <c r="N916">
        <f t="shared" si="15"/>
        <v>-150.6899999999996</v>
      </c>
      <c r="O916" t="s">
        <v>38</v>
      </c>
      <c r="P916" t="s">
        <v>24</v>
      </c>
      <c r="Q916" t="s">
        <v>39</v>
      </c>
    </row>
    <row r="917" spans="1:17" x14ac:dyDescent="0.3">
      <c r="A917" t="s">
        <v>995</v>
      </c>
      <c r="B917" s="1">
        <v>45392</v>
      </c>
      <c r="C917" t="s">
        <v>49</v>
      </c>
      <c r="D917" t="s">
        <v>70</v>
      </c>
      <c r="E917" t="s">
        <v>155</v>
      </c>
      <c r="F917" t="s">
        <v>21</v>
      </c>
      <c r="G917" t="s">
        <v>72</v>
      </c>
      <c r="H917">
        <v>35000</v>
      </c>
      <c r="I917">
        <v>15</v>
      </c>
      <c r="J917">
        <v>10</v>
      </c>
      <c r="K917">
        <v>20</v>
      </c>
      <c r="L917">
        <v>472500</v>
      </c>
      <c r="M917">
        <v>483150.84</v>
      </c>
      <c r="N917">
        <f t="shared" si="15"/>
        <v>-10650.840000000026</v>
      </c>
      <c r="O917" t="s">
        <v>38</v>
      </c>
      <c r="P917" t="s">
        <v>24</v>
      </c>
      <c r="Q917" t="s">
        <v>39</v>
      </c>
    </row>
    <row r="918" spans="1:17" x14ac:dyDescent="0.3">
      <c r="A918" t="s">
        <v>996</v>
      </c>
      <c r="B918" s="1">
        <v>45377</v>
      </c>
      <c r="C918" t="s">
        <v>34</v>
      </c>
      <c r="D918" t="s">
        <v>92</v>
      </c>
      <c r="E918" t="s">
        <v>104</v>
      </c>
      <c r="F918" t="s">
        <v>29</v>
      </c>
      <c r="G918" t="s">
        <v>30</v>
      </c>
      <c r="H918">
        <v>1200</v>
      </c>
      <c r="I918">
        <v>4</v>
      </c>
      <c r="J918">
        <v>15</v>
      </c>
      <c r="K918">
        <v>10</v>
      </c>
      <c r="L918">
        <v>4080</v>
      </c>
      <c r="M918">
        <v>4253.29</v>
      </c>
      <c r="N918">
        <f t="shared" si="15"/>
        <v>-173.28999999999996</v>
      </c>
      <c r="O918" t="s">
        <v>23</v>
      </c>
      <c r="P918" t="s">
        <v>24</v>
      </c>
      <c r="Q918" t="s">
        <v>25</v>
      </c>
    </row>
    <row r="919" spans="1:17" x14ac:dyDescent="0.3">
      <c r="A919" t="s">
        <v>997</v>
      </c>
      <c r="B919" s="1">
        <v>45460</v>
      </c>
      <c r="C919" t="s">
        <v>53</v>
      </c>
      <c r="D919" t="s">
        <v>35</v>
      </c>
      <c r="E919" t="s">
        <v>81</v>
      </c>
      <c r="F919" t="s">
        <v>21</v>
      </c>
      <c r="G919" t="s">
        <v>82</v>
      </c>
      <c r="H919">
        <v>8000</v>
      </c>
      <c r="I919">
        <v>10</v>
      </c>
      <c r="J919">
        <v>10</v>
      </c>
      <c r="K919">
        <v>15</v>
      </c>
      <c r="L919">
        <v>72000</v>
      </c>
      <c r="M919">
        <v>62611.88</v>
      </c>
      <c r="N919">
        <f t="shared" si="15"/>
        <v>9388.1200000000026</v>
      </c>
      <c r="O919" t="s">
        <v>38</v>
      </c>
      <c r="P919" t="s">
        <v>31</v>
      </c>
      <c r="Q919" t="s">
        <v>39</v>
      </c>
    </row>
    <row r="920" spans="1:17" x14ac:dyDescent="0.3">
      <c r="A920" t="s">
        <v>998</v>
      </c>
      <c r="B920" s="1">
        <v>45354</v>
      </c>
      <c r="C920" t="s">
        <v>53</v>
      </c>
      <c r="D920" t="s">
        <v>92</v>
      </c>
      <c r="E920" t="s">
        <v>102</v>
      </c>
      <c r="F920" t="s">
        <v>29</v>
      </c>
      <c r="G920" t="s">
        <v>43</v>
      </c>
      <c r="H920">
        <v>1500</v>
      </c>
      <c r="I920">
        <v>8</v>
      </c>
      <c r="J920">
        <v>5</v>
      </c>
      <c r="K920">
        <v>5</v>
      </c>
      <c r="L920">
        <v>11400</v>
      </c>
      <c r="M920">
        <v>9904.42</v>
      </c>
      <c r="N920">
        <f t="shared" si="15"/>
        <v>1495.58</v>
      </c>
      <c r="O920" t="s">
        <v>23</v>
      </c>
      <c r="P920" t="s">
        <v>31</v>
      </c>
      <c r="Q920" t="s">
        <v>32</v>
      </c>
    </row>
    <row r="921" spans="1:17" x14ac:dyDescent="0.3">
      <c r="A921" t="s">
        <v>999</v>
      </c>
      <c r="B921" s="1">
        <v>45424</v>
      </c>
      <c r="C921" t="s">
        <v>18</v>
      </c>
      <c r="D921" t="s">
        <v>92</v>
      </c>
      <c r="E921" t="s">
        <v>61</v>
      </c>
      <c r="F921" t="s">
        <v>29</v>
      </c>
      <c r="G921" t="s">
        <v>43</v>
      </c>
      <c r="H921">
        <v>2800</v>
      </c>
      <c r="I921">
        <v>15</v>
      </c>
      <c r="J921">
        <v>5</v>
      </c>
      <c r="K921">
        <v>5</v>
      </c>
      <c r="L921">
        <v>39900</v>
      </c>
      <c r="M921">
        <v>38342.769999999997</v>
      </c>
      <c r="N921">
        <f t="shared" si="15"/>
        <v>1557.2300000000032</v>
      </c>
      <c r="O921" t="s">
        <v>23</v>
      </c>
      <c r="P921" t="s">
        <v>31</v>
      </c>
      <c r="Q921" t="s">
        <v>32</v>
      </c>
    </row>
    <row r="922" spans="1:17" x14ac:dyDescent="0.3">
      <c r="A922" t="s">
        <v>1000</v>
      </c>
      <c r="B922" s="1">
        <v>45379</v>
      </c>
      <c r="C922" t="s">
        <v>53</v>
      </c>
      <c r="D922" t="s">
        <v>92</v>
      </c>
      <c r="E922" t="s">
        <v>50</v>
      </c>
      <c r="F922" t="s">
        <v>21</v>
      </c>
      <c r="G922" t="s">
        <v>51</v>
      </c>
      <c r="H922">
        <v>4500</v>
      </c>
      <c r="I922">
        <v>14</v>
      </c>
      <c r="J922">
        <v>5</v>
      </c>
      <c r="K922">
        <v>25</v>
      </c>
      <c r="L922">
        <v>59850</v>
      </c>
      <c r="M922">
        <v>55170.559999999998</v>
      </c>
      <c r="N922">
        <f t="shared" si="15"/>
        <v>4679.4400000000023</v>
      </c>
      <c r="O922" t="s">
        <v>38</v>
      </c>
      <c r="P922" t="s">
        <v>31</v>
      </c>
      <c r="Q922" t="s">
        <v>39</v>
      </c>
    </row>
    <row r="923" spans="1:17" x14ac:dyDescent="0.3">
      <c r="A923" t="s">
        <v>1001</v>
      </c>
      <c r="B923" s="1">
        <v>45373</v>
      </c>
      <c r="C923" t="s">
        <v>18</v>
      </c>
      <c r="D923" t="s">
        <v>35</v>
      </c>
      <c r="E923" t="s">
        <v>54</v>
      </c>
      <c r="F923" t="s">
        <v>46</v>
      </c>
      <c r="G923" t="s">
        <v>55</v>
      </c>
      <c r="H923">
        <v>4500</v>
      </c>
      <c r="I923">
        <v>3</v>
      </c>
      <c r="J923">
        <v>10</v>
      </c>
      <c r="K923">
        <v>5</v>
      </c>
      <c r="L923">
        <v>12150</v>
      </c>
      <c r="M923">
        <v>10412.799999999999</v>
      </c>
      <c r="N923">
        <f t="shared" si="15"/>
        <v>1737.2000000000007</v>
      </c>
      <c r="O923" t="s">
        <v>23</v>
      </c>
      <c r="P923" t="s">
        <v>31</v>
      </c>
      <c r="Q923" t="s">
        <v>32</v>
      </c>
    </row>
    <row r="924" spans="1:17" x14ac:dyDescent="0.3">
      <c r="A924" t="s">
        <v>1002</v>
      </c>
      <c r="B924" s="1">
        <v>45402</v>
      </c>
      <c r="C924" t="s">
        <v>53</v>
      </c>
      <c r="D924" t="s">
        <v>70</v>
      </c>
      <c r="E924" t="s">
        <v>104</v>
      </c>
      <c r="F924" t="s">
        <v>29</v>
      </c>
      <c r="G924" t="s">
        <v>30</v>
      </c>
      <c r="H924">
        <v>1200</v>
      </c>
      <c r="I924">
        <v>15</v>
      </c>
      <c r="J924">
        <v>15</v>
      </c>
      <c r="K924">
        <v>0</v>
      </c>
      <c r="L924">
        <v>15300</v>
      </c>
      <c r="M924">
        <v>13994.37</v>
      </c>
      <c r="N924">
        <f t="shared" si="15"/>
        <v>1305.6299999999992</v>
      </c>
      <c r="O924" t="s">
        <v>23</v>
      </c>
      <c r="P924" t="s">
        <v>31</v>
      </c>
      <c r="Q924" t="s">
        <v>32</v>
      </c>
    </row>
    <row r="925" spans="1:17" x14ac:dyDescent="0.3">
      <c r="A925" t="s">
        <v>1003</v>
      </c>
      <c r="B925" s="1">
        <v>45415</v>
      </c>
      <c r="C925" t="s">
        <v>34</v>
      </c>
      <c r="D925" t="s">
        <v>19</v>
      </c>
      <c r="E925" t="s">
        <v>36</v>
      </c>
      <c r="F925" t="s">
        <v>29</v>
      </c>
      <c r="G925" t="s">
        <v>37</v>
      </c>
      <c r="H925">
        <v>1200</v>
      </c>
      <c r="I925">
        <v>5</v>
      </c>
      <c r="J925">
        <v>10</v>
      </c>
      <c r="K925">
        <v>15</v>
      </c>
      <c r="L925">
        <v>5400</v>
      </c>
      <c r="M925">
        <v>4743.8900000000003</v>
      </c>
      <c r="N925">
        <f t="shared" si="15"/>
        <v>656.10999999999967</v>
      </c>
      <c r="O925" t="s">
        <v>38</v>
      </c>
      <c r="P925" t="s">
        <v>31</v>
      </c>
      <c r="Q925" t="s">
        <v>39</v>
      </c>
    </row>
    <row r="926" spans="1:17" x14ac:dyDescent="0.3">
      <c r="A926" t="s">
        <v>1004</v>
      </c>
      <c r="B926" s="1">
        <v>45382</v>
      </c>
      <c r="C926" t="s">
        <v>49</v>
      </c>
      <c r="D926" t="s">
        <v>41</v>
      </c>
      <c r="E926" t="s">
        <v>90</v>
      </c>
      <c r="F926" t="s">
        <v>29</v>
      </c>
      <c r="G926" t="s">
        <v>37</v>
      </c>
      <c r="H926">
        <v>6500</v>
      </c>
      <c r="I926">
        <v>8</v>
      </c>
      <c r="J926">
        <v>15</v>
      </c>
      <c r="K926">
        <v>20</v>
      </c>
      <c r="L926">
        <v>44200</v>
      </c>
      <c r="M926">
        <v>44583.7</v>
      </c>
      <c r="N926">
        <f t="shared" si="15"/>
        <v>-383.69999999999709</v>
      </c>
      <c r="O926" t="s">
        <v>38</v>
      </c>
      <c r="P926" t="s">
        <v>24</v>
      </c>
      <c r="Q926" t="s">
        <v>39</v>
      </c>
    </row>
    <row r="927" spans="1:17" x14ac:dyDescent="0.3">
      <c r="A927" t="s">
        <v>1005</v>
      </c>
      <c r="B927" s="1">
        <v>45327</v>
      </c>
      <c r="C927" t="s">
        <v>49</v>
      </c>
      <c r="D927" t="s">
        <v>27</v>
      </c>
      <c r="E927" t="s">
        <v>67</v>
      </c>
      <c r="F927" t="s">
        <v>29</v>
      </c>
      <c r="G927" t="s">
        <v>68</v>
      </c>
      <c r="H927">
        <v>1200</v>
      </c>
      <c r="I927">
        <v>14</v>
      </c>
      <c r="J927">
        <v>5</v>
      </c>
      <c r="K927">
        <v>5</v>
      </c>
      <c r="L927">
        <v>15960</v>
      </c>
      <c r="M927">
        <v>14387.91</v>
      </c>
      <c r="N927">
        <f t="shared" si="15"/>
        <v>1572.0900000000001</v>
      </c>
      <c r="O927" t="s">
        <v>23</v>
      </c>
      <c r="P927" t="s">
        <v>31</v>
      </c>
      <c r="Q927" t="s">
        <v>32</v>
      </c>
    </row>
    <row r="928" spans="1:17" x14ac:dyDescent="0.3">
      <c r="A928" t="s">
        <v>1006</v>
      </c>
      <c r="B928" s="1">
        <v>45451</v>
      </c>
      <c r="C928" t="s">
        <v>18</v>
      </c>
      <c r="D928" t="s">
        <v>19</v>
      </c>
      <c r="E928" t="s">
        <v>61</v>
      </c>
      <c r="F928" t="s">
        <v>29</v>
      </c>
      <c r="G928" t="s">
        <v>43</v>
      </c>
      <c r="H928">
        <v>2800</v>
      </c>
      <c r="I928">
        <v>2</v>
      </c>
      <c r="J928">
        <v>5</v>
      </c>
      <c r="K928">
        <v>0</v>
      </c>
      <c r="L928">
        <v>5320</v>
      </c>
      <c r="M928">
        <v>5306.6</v>
      </c>
      <c r="N928">
        <f t="shared" si="15"/>
        <v>13.399999999999636</v>
      </c>
      <c r="O928" t="s">
        <v>23</v>
      </c>
      <c r="P928" t="s">
        <v>31</v>
      </c>
      <c r="Q928" t="s">
        <v>32</v>
      </c>
    </row>
    <row r="929" spans="1:17" x14ac:dyDescent="0.3">
      <c r="A929" t="s">
        <v>1007</v>
      </c>
      <c r="B929" s="1">
        <v>45432</v>
      </c>
      <c r="C929" t="s">
        <v>49</v>
      </c>
      <c r="D929" t="s">
        <v>35</v>
      </c>
      <c r="E929" t="s">
        <v>107</v>
      </c>
      <c r="F929" t="s">
        <v>108</v>
      </c>
      <c r="G929" t="s">
        <v>109</v>
      </c>
      <c r="H929">
        <v>18000</v>
      </c>
      <c r="I929">
        <v>13</v>
      </c>
      <c r="J929">
        <v>5</v>
      </c>
      <c r="K929">
        <v>20</v>
      </c>
      <c r="L929">
        <v>222300</v>
      </c>
      <c r="M929">
        <v>213809.15</v>
      </c>
      <c r="N929">
        <f t="shared" si="15"/>
        <v>8490.8500000000058</v>
      </c>
      <c r="O929" t="s">
        <v>38</v>
      </c>
      <c r="P929" t="s">
        <v>31</v>
      </c>
      <c r="Q929" t="s">
        <v>39</v>
      </c>
    </row>
    <row r="930" spans="1:17" x14ac:dyDescent="0.3">
      <c r="A930" t="s">
        <v>1008</v>
      </c>
      <c r="B930" s="1">
        <v>45437</v>
      </c>
      <c r="C930" t="s">
        <v>53</v>
      </c>
      <c r="D930" t="s">
        <v>41</v>
      </c>
      <c r="E930" t="s">
        <v>71</v>
      </c>
      <c r="F930" t="s">
        <v>21</v>
      </c>
      <c r="G930" t="s">
        <v>72</v>
      </c>
      <c r="H930">
        <v>60000</v>
      </c>
      <c r="I930">
        <v>14</v>
      </c>
      <c r="J930">
        <v>5</v>
      </c>
      <c r="K930">
        <v>25</v>
      </c>
      <c r="L930">
        <v>798000</v>
      </c>
      <c r="M930">
        <v>829257.8</v>
      </c>
      <c r="N930">
        <f t="shared" si="15"/>
        <v>-31257.800000000047</v>
      </c>
      <c r="O930" t="s">
        <v>38</v>
      </c>
      <c r="P930" t="s">
        <v>24</v>
      </c>
      <c r="Q930" t="s">
        <v>39</v>
      </c>
    </row>
    <row r="931" spans="1:17" x14ac:dyDescent="0.3">
      <c r="A931" t="s">
        <v>1009</v>
      </c>
      <c r="B931" s="1">
        <v>45418</v>
      </c>
      <c r="C931" t="s">
        <v>18</v>
      </c>
      <c r="D931" t="s">
        <v>92</v>
      </c>
      <c r="E931" t="s">
        <v>129</v>
      </c>
      <c r="F931" t="s">
        <v>21</v>
      </c>
      <c r="G931" t="s">
        <v>82</v>
      </c>
      <c r="H931">
        <v>3500</v>
      </c>
      <c r="I931">
        <v>2</v>
      </c>
      <c r="J931">
        <v>10</v>
      </c>
      <c r="K931">
        <v>5</v>
      </c>
      <c r="L931">
        <v>6300</v>
      </c>
      <c r="M931">
        <v>5388.92</v>
      </c>
      <c r="N931">
        <f t="shared" si="15"/>
        <v>911.07999999999993</v>
      </c>
      <c r="O931" t="s">
        <v>23</v>
      </c>
      <c r="P931" t="s">
        <v>31</v>
      </c>
      <c r="Q931" t="s">
        <v>32</v>
      </c>
    </row>
    <row r="932" spans="1:17" x14ac:dyDescent="0.3">
      <c r="A932" t="s">
        <v>1010</v>
      </c>
      <c r="B932" s="1">
        <v>45420</v>
      </c>
      <c r="C932" t="s">
        <v>49</v>
      </c>
      <c r="D932" t="s">
        <v>35</v>
      </c>
      <c r="E932" t="s">
        <v>67</v>
      </c>
      <c r="F932" t="s">
        <v>29</v>
      </c>
      <c r="G932" t="s">
        <v>68</v>
      </c>
      <c r="H932">
        <v>1200</v>
      </c>
      <c r="I932">
        <v>13</v>
      </c>
      <c r="J932">
        <v>15</v>
      </c>
      <c r="K932">
        <v>25</v>
      </c>
      <c r="L932">
        <v>13260</v>
      </c>
      <c r="M932">
        <v>12660.71</v>
      </c>
      <c r="N932">
        <f t="shared" si="15"/>
        <v>599.29000000000087</v>
      </c>
      <c r="O932" t="s">
        <v>38</v>
      </c>
      <c r="P932" t="s">
        <v>31</v>
      </c>
      <c r="Q932" t="s">
        <v>39</v>
      </c>
    </row>
    <row r="933" spans="1:17" x14ac:dyDescent="0.3">
      <c r="A933" t="s">
        <v>1011</v>
      </c>
      <c r="B933" s="1">
        <v>45330</v>
      </c>
      <c r="C933" t="s">
        <v>53</v>
      </c>
      <c r="D933" t="s">
        <v>92</v>
      </c>
      <c r="E933" t="s">
        <v>107</v>
      </c>
      <c r="F933" t="s">
        <v>108</v>
      </c>
      <c r="G933" t="s">
        <v>109</v>
      </c>
      <c r="H933">
        <v>18000</v>
      </c>
      <c r="I933">
        <v>9</v>
      </c>
      <c r="J933">
        <v>10</v>
      </c>
      <c r="K933">
        <v>20</v>
      </c>
      <c r="L933">
        <v>145800</v>
      </c>
      <c r="M933">
        <v>146696.39000000001</v>
      </c>
      <c r="N933">
        <f t="shared" si="15"/>
        <v>-896.39000000001397</v>
      </c>
      <c r="O933" t="s">
        <v>38</v>
      </c>
      <c r="P933" t="s">
        <v>24</v>
      </c>
      <c r="Q933" t="s">
        <v>39</v>
      </c>
    </row>
    <row r="934" spans="1:17" x14ac:dyDescent="0.3">
      <c r="A934" t="s">
        <v>1012</v>
      </c>
      <c r="B934" s="1">
        <v>45394</v>
      </c>
      <c r="C934" t="s">
        <v>53</v>
      </c>
      <c r="D934" t="s">
        <v>70</v>
      </c>
      <c r="E934" t="s">
        <v>167</v>
      </c>
      <c r="F934" t="s">
        <v>21</v>
      </c>
      <c r="G934" t="s">
        <v>82</v>
      </c>
      <c r="H934">
        <v>7000</v>
      </c>
      <c r="I934">
        <v>13</v>
      </c>
      <c r="J934">
        <v>15</v>
      </c>
      <c r="K934">
        <v>25</v>
      </c>
      <c r="L934">
        <v>77350</v>
      </c>
      <c r="M934">
        <v>69787.11</v>
      </c>
      <c r="N934">
        <f t="shared" si="15"/>
        <v>7562.8899999999994</v>
      </c>
      <c r="O934" t="s">
        <v>38</v>
      </c>
      <c r="P934" t="s">
        <v>31</v>
      </c>
      <c r="Q934" t="s">
        <v>39</v>
      </c>
    </row>
    <row r="935" spans="1:17" x14ac:dyDescent="0.3">
      <c r="A935" t="s">
        <v>1013</v>
      </c>
      <c r="B935" s="1">
        <v>45345</v>
      </c>
      <c r="C935" t="s">
        <v>53</v>
      </c>
      <c r="D935" t="s">
        <v>70</v>
      </c>
      <c r="E935" t="s">
        <v>61</v>
      </c>
      <c r="F935" t="s">
        <v>29</v>
      </c>
      <c r="G935" t="s">
        <v>43</v>
      </c>
      <c r="H935">
        <v>2800</v>
      </c>
      <c r="I935">
        <v>5</v>
      </c>
      <c r="J935">
        <v>5</v>
      </c>
      <c r="K935">
        <v>5</v>
      </c>
      <c r="L935">
        <v>13300</v>
      </c>
      <c r="M935">
        <v>11375.19</v>
      </c>
      <c r="N935">
        <f t="shared" si="15"/>
        <v>1924.8099999999995</v>
      </c>
      <c r="O935" t="s">
        <v>23</v>
      </c>
      <c r="P935" t="s">
        <v>31</v>
      </c>
      <c r="Q935" t="s">
        <v>32</v>
      </c>
    </row>
    <row r="936" spans="1:17" x14ac:dyDescent="0.3">
      <c r="A936" t="s">
        <v>1014</v>
      </c>
      <c r="B936" s="1">
        <v>45391</v>
      </c>
      <c r="C936" t="s">
        <v>18</v>
      </c>
      <c r="D936" t="s">
        <v>27</v>
      </c>
      <c r="E936" t="s">
        <v>167</v>
      </c>
      <c r="F936" t="s">
        <v>21</v>
      </c>
      <c r="G936" t="s">
        <v>82</v>
      </c>
      <c r="H936">
        <v>7000</v>
      </c>
      <c r="I936">
        <v>2</v>
      </c>
      <c r="J936">
        <v>15</v>
      </c>
      <c r="K936">
        <v>10</v>
      </c>
      <c r="L936">
        <v>11900</v>
      </c>
      <c r="M936">
        <v>10907.73</v>
      </c>
      <c r="N936">
        <f t="shared" si="15"/>
        <v>992.27000000000044</v>
      </c>
      <c r="O936" t="s">
        <v>23</v>
      </c>
      <c r="P936" t="s">
        <v>31</v>
      </c>
      <c r="Q936" t="s">
        <v>32</v>
      </c>
    </row>
    <row r="937" spans="1:17" x14ac:dyDescent="0.3">
      <c r="A937" t="s">
        <v>1015</v>
      </c>
      <c r="B937" s="1">
        <v>45449</v>
      </c>
      <c r="C937" t="s">
        <v>34</v>
      </c>
      <c r="D937" t="s">
        <v>27</v>
      </c>
      <c r="E937" t="s">
        <v>57</v>
      </c>
      <c r="F937" t="s">
        <v>46</v>
      </c>
      <c r="G937" t="s">
        <v>58</v>
      </c>
      <c r="H937">
        <v>18000</v>
      </c>
      <c r="I937">
        <v>3</v>
      </c>
      <c r="J937">
        <v>15</v>
      </c>
      <c r="K937">
        <v>20</v>
      </c>
      <c r="L937">
        <v>45900</v>
      </c>
      <c r="M937">
        <v>41672.050000000003</v>
      </c>
      <c r="N937">
        <f t="shared" si="15"/>
        <v>4227.9499999999971</v>
      </c>
      <c r="O937" t="s">
        <v>38</v>
      </c>
      <c r="P937" t="s">
        <v>31</v>
      </c>
      <c r="Q937" t="s">
        <v>39</v>
      </c>
    </row>
    <row r="938" spans="1:17" x14ac:dyDescent="0.3">
      <c r="A938" t="s">
        <v>1016</v>
      </c>
      <c r="B938" s="1">
        <v>45313</v>
      </c>
      <c r="C938" t="s">
        <v>49</v>
      </c>
      <c r="D938" t="s">
        <v>41</v>
      </c>
      <c r="E938" t="s">
        <v>36</v>
      </c>
      <c r="F938" t="s">
        <v>29</v>
      </c>
      <c r="G938" t="s">
        <v>37</v>
      </c>
      <c r="H938">
        <v>1200</v>
      </c>
      <c r="I938">
        <v>7</v>
      </c>
      <c r="J938">
        <v>15</v>
      </c>
      <c r="K938">
        <v>5</v>
      </c>
      <c r="L938">
        <v>7140</v>
      </c>
      <c r="M938">
        <v>6965.14</v>
      </c>
      <c r="N938">
        <f t="shared" si="15"/>
        <v>174.85999999999967</v>
      </c>
      <c r="O938" t="s">
        <v>23</v>
      </c>
      <c r="P938" t="s">
        <v>31</v>
      </c>
      <c r="Q938" t="s">
        <v>32</v>
      </c>
    </row>
    <row r="939" spans="1:17" x14ac:dyDescent="0.3">
      <c r="A939" t="s">
        <v>1017</v>
      </c>
      <c r="B939" s="1">
        <v>45368</v>
      </c>
      <c r="C939" t="s">
        <v>53</v>
      </c>
      <c r="D939" t="s">
        <v>70</v>
      </c>
      <c r="E939" t="s">
        <v>67</v>
      </c>
      <c r="F939" t="s">
        <v>29</v>
      </c>
      <c r="G939" t="s">
        <v>68</v>
      </c>
      <c r="H939">
        <v>1200</v>
      </c>
      <c r="I939">
        <v>11</v>
      </c>
      <c r="J939">
        <v>10</v>
      </c>
      <c r="K939">
        <v>20</v>
      </c>
      <c r="L939">
        <v>11880</v>
      </c>
      <c r="M939">
        <v>11063.73</v>
      </c>
      <c r="N939">
        <f t="shared" si="15"/>
        <v>816.27000000000044</v>
      </c>
      <c r="O939" t="s">
        <v>38</v>
      </c>
      <c r="P939" t="s">
        <v>31</v>
      </c>
      <c r="Q939" t="s">
        <v>39</v>
      </c>
    </row>
    <row r="940" spans="1:17" x14ac:dyDescent="0.3">
      <c r="A940" t="s">
        <v>1018</v>
      </c>
      <c r="B940" s="1">
        <v>45449</v>
      </c>
      <c r="C940" t="s">
        <v>18</v>
      </c>
      <c r="D940" t="s">
        <v>27</v>
      </c>
      <c r="E940" t="s">
        <v>28</v>
      </c>
      <c r="F940" t="s">
        <v>29</v>
      </c>
      <c r="G940" t="s">
        <v>30</v>
      </c>
      <c r="H940">
        <v>1800</v>
      </c>
      <c r="I940">
        <v>14</v>
      </c>
      <c r="J940">
        <v>15</v>
      </c>
      <c r="K940">
        <v>5</v>
      </c>
      <c r="L940">
        <v>21420</v>
      </c>
      <c r="M940">
        <v>19884.62</v>
      </c>
      <c r="N940">
        <f t="shared" si="15"/>
        <v>1535.380000000001</v>
      </c>
      <c r="O940" t="s">
        <v>23</v>
      </c>
      <c r="P940" t="s">
        <v>31</v>
      </c>
      <c r="Q940" t="s">
        <v>32</v>
      </c>
    </row>
    <row r="941" spans="1:17" x14ac:dyDescent="0.3">
      <c r="A941" t="s">
        <v>1019</v>
      </c>
      <c r="B941" s="1">
        <v>45465</v>
      </c>
      <c r="C941" t="s">
        <v>34</v>
      </c>
      <c r="D941" t="s">
        <v>70</v>
      </c>
      <c r="E941" t="s">
        <v>42</v>
      </c>
      <c r="F941" t="s">
        <v>29</v>
      </c>
      <c r="G941" t="s">
        <v>43</v>
      </c>
      <c r="H941">
        <v>500</v>
      </c>
      <c r="I941">
        <v>6</v>
      </c>
      <c r="J941">
        <v>5</v>
      </c>
      <c r="K941">
        <v>15</v>
      </c>
      <c r="L941">
        <v>2850</v>
      </c>
      <c r="M941">
        <v>2806.8</v>
      </c>
      <c r="N941">
        <f t="shared" si="15"/>
        <v>43.199999999999818</v>
      </c>
      <c r="O941" t="s">
        <v>38</v>
      </c>
      <c r="P941" t="s">
        <v>31</v>
      </c>
      <c r="Q941" t="s">
        <v>39</v>
      </c>
    </row>
    <row r="942" spans="1:17" x14ac:dyDescent="0.3">
      <c r="A942" t="s">
        <v>1020</v>
      </c>
      <c r="B942" s="1">
        <v>45296</v>
      </c>
      <c r="C942" t="s">
        <v>34</v>
      </c>
      <c r="D942" t="s">
        <v>70</v>
      </c>
      <c r="E942" t="s">
        <v>102</v>
      </c>
      <c r="F942" t="s">
        <v>29</v>
      </c>
      <c r="G942" t="s">
        <v>43</v>
      </c>
      <c r="H942">
        <v>1500</v>
      </c>
      <c r="I942">
        <v>15</v>
      </c>
      <c r="J942">
        <v>10</v>
      </c>
      <c r="K942">
        <v>10</v>
      </c>
      <c r="L942">
        <v>20250</v>
      </c>
      <c r="M942">
        <v>20445.93</v>
      </c>
      <c r="N942">
        <f t="shared" si="15"/>
        <v>-195.93000000000029</v>
      </c>
      <c r="O942" t="s">
        <v>23</v>
      </c>
      <c r="P942" t="s">
        <v>24</v>
      </c>
      <c r="Q942" t="s">
        <v>25</v>
      </c>
    </row>
    <row r="943" spans="1:17" x14ac:dyDescent="0.3">
      <c r="A943" t="s">
        <v>1021</v>
      </c>
      <c r="B943" s="1">
        <v>45362</v>
      </c>
      <c r="C943" t="s">
        <v>18</v>
      </c>
      <c r="D943" t="s">
        <v>41</v>
      </c>
      <c r="E943" t="s">
        <v>102</v>
      </c>
      <c r="F943" t="s">
        <v>29</v>
      </c>
      <c r="G943" t="s">
        <v>43</v>
      </c>
      <c r="H943">
        <v>1500</v>
      </c>
      <c r="I943">
        <v>1</v>
      </c>
      <c r="J943">
        <v>10</v>
      </c>
      <c r="K943">
        <v>10</v>
      </c>
      <c r="L943">
        <v>1350</v>
      </c>
      <c r="M943">
        <v>1393.95</v>
      </c>
      <c r="N943">
        <f t="shared" si="15"/>
        <v>-43.950000000000045</v>
      </c>
      <c r="O943" t="s">
        <v>23</v>
      </c>
      <c r="P943" t="s">
        <v>24</v>
      </c>
      <c r="Q943" t="s">
        <v>25</v>
      </c>
    </row>
    <row r="944" spans="1:17" x14ac:dyDescent="0.3">
      <c r="A944" t="s">
        <v>1022</v>
      </c>
      <c r="B944" s="1">
        <v>45375</v>
      </c>
      <c r="C944" t="s">
        <v>18</v>
      </c>
      <c r="D944" t="s">
        <v>35</v>
      </c>
      <c r="E944" t="s">
        <v>50</v>
      </c>
      <c r="F944" t="s">
        <v>21</v>
      </c>
      <c r="G944" t="s">
        <v>51</v>
      </c>
      <c r="H944">
        <v>4500</v>
      </c>
      <c r="I944">
        <v>14</v>
      </c>
      <c r="J944">
        <v>10</v>
      </c>
      <c r="K944">
        <v>10</v>
      </c>
      <c r="L944">
        <v>56700</v>
      </c>
      <c r="M944">
        <v>53135.25</v>
      </c>
      <c r="N944">
        <f t="shared" si="15"/>
        <v>3564.75</v>
      </c>
      <c r="O944" t="s">
        <v>23</v>
      </c>
      <c r="P944" t="s">
        <v>31</v>
      </c>
      <c r="Q944" t="s">
        <v>32</v>
      </c>
    </row>
    <row r="945" spans="1:17" x14ac:dyDescent="0.3">
      <c r="A945" t="s">
        <v>1023</v>
      </c>
      <c r="B945" s="1">
        <v>45302</v>
      </c>
      <c r="C945" t="s">
        <v>18</v>
      </c>
      <c r="D945" t="s">
        <v>70</v>
      </c>
      <c r="E945" t="s">
        <v>54</v>
      </c>
      <c r="F945" t="s">
        <v>46</v>
      </c>
      <c r="G945" t="s">
        <v>55</v>
      </c>
      <c r="H945">
        <v>4500</v>
      </c>
      <c r="I945">
        <v>5</v>
      </c>
      <c r="J945">
        <v>5</v>
      </c>
      <c r="K945">
        <v>0</v>
      </c>
      <c r="L945">
        <v>21375</v>
      </c>
      <c r="M945">
        <v>22419.54</v>
      </c>
      <c r="N945">
        <f t="shared" si="15"/>
        <v>-1044.5400000000009</v>
      </c>
      <c r="O945" t="s">
        <v>23</v>
      </c>
      <c r="P945" t="s">
        <v>24</v>
      </c>
      <c r="Q945" t="s">
        <v>25</v>
      </c>
    </row>
    <row r="946" spans="1:17" x14ac:dyDescent="0.3">
      <c r="A946" t="s">
        <v>1024</v>
      </c>
      <c r="B946" s="1">
        <v>45456</v>
      </c>
      <c r="C946" t="s">
        <v>34</v>
      </c>
      <c r="D946" t="s">
        <v>92</v>
      </c>
      <c r="E946" t="s">
        <v>140</v>
      </c>
      <c r="F946" t="s">
        <v>141</v>
      </c>
      <c r="G946" t="s">
        <v>142</v>
      </c>
      <c r="H946">
        <v>12000</v>
      </c>
      <c r="I946">
        <v>15</v>
      </c>
      <c r="J946">
        <v>15</v>
      </c>
      <c r="K946">
        <v>0</v>
      </c>
      <c r="L946">
        <v>153000</v>
      </c>
      <c r="M946">
        <v>156178.32999999999</v>
      </c>
      <c r="N946">
        <f t="shared" si="15"/>
        <v>-3178.3299999999872</v>
      </c>
      <c r="O946" t="s">
        <v>23</v>
      </c>
      <c r="P946" t="s">
        <v>24</v>
      </c>
      <c r="Q946" t="s">
        <v>25</v>
      </c>
    </row>
    <row r="947" spans="1:17" x14ac:dyDescent="0.3">
      <c r="A947" t="s">
        <v>1025</v>
      </c>
      <c r="B947" s="1">
        <v>45450</v>
      </c>
      <c r="C947" t="s">
        <v>34</v>
      </c>
      <c r="D947" t="s">
        <v>92</v>
      </c>
      <c r="E947" t="s">
        <v>167</v>
      </c>
      <c r="F947" t="s">
        <v>21</v>
      </c>
      <c r="G947" t="s">
        <v>82</v>
      </c>
      <c r="H947">
        <v>7000</v>
      </c>
      <c r="I947">
        <v>3</v>
      </c>
      <c r="J947">
        <v>10</v>
      </c>
      <c r="K947">
        <v>20</v>
      </c>
      <c r="L947">
        <v>18900</v>
      </c>
      <c r="M947">
        <v>19005.05</v>
      </c>
      <c r="N947">
        <f t="shared" si="15"/>
        <v>-105.04999999999927</v>
      </c>
      <c r="O947" t="s">
        <v>38</v>
      </c>
      <c r="P947" t="s">
        <v>24</v>
      </c>
      <c r="Q947" t="s">
        <v>39</v>
      </c>
    </row>
    <row r="948" spans="1:17" x14ac:dyDescent="0.3">
      <c r="A948" t="s">
        <v>1026</v>
      </c>
      <c r="B948" s="1">
        <v>45460</v>
      </c>
      <c r="C948" t="s">
        <v>49</v>
      </c>
      <c r="D948" t="s">
        <v>19</v>
      </c>
      <c r="E948" t="s">
        <v>75</v>
      </c>
      <c r="F948" t="s">
        <v>76</v>
      </c>
      <c r="G948" t="s">
        <v>77</v>
      </c>
      <c r="H948">
        <v>8000</v>
      </c>
      <c r="I948">
        <v>15</v>
      </c>
      <c r="J948">
        <v>5</v>
      </c>
      <c r="K948">
        <v>10</v>
      </c>
      <c r="L948">
        <v>114000</v>
      </c>
      <c r="M948">
        <v>115079.4</v>
      </c>
      <c r="N948">
        <f t="shared" si="15"/>
        <v>-1079.3999999999942</v>
      </c>
      <c r="O948" t="s">
        <v>38</v>
      </c>
      <c r="P948" t="s">
        <v>24</v>
      </c>
      <c r="Q948" t="s">
        <v>39</v>
      </c>
    </row>
    <row r="949" spans="1:17" x14ac:dyDescent="0.3">
      <c r="A949" t="s">
        <v>1027</v>
      </c>
      <c r="B949" s="1">
        <v>45294</v>
      </c>
      <c r="C949" t="s">
        <v>34</v>
      </c>
      <c r="D949" t="s">
        <v>27</v>
      </c>
      <c r="E949" t="s">
        <v>54</v>
      </c>
      <c r="F949" t="s">
        <v>46</v>
      </c>
      <c r="G949" t="s">
        <v>55</v>
      </c>
      <c r="H949">
        <v>4500</v>
      </c>
      <c r="I949">
        <v>10</v>
      </c>
      <c r="J949">
        <v>10</v>
      </c>
      <c r="K949">
        <v>15</v>
      </c>
      <c r="L949">
        <v>40500</v>
      </c>
      <c r="M949">
        <v>42117.99</v>
      </c>
      <c r="N949">
        <f t="shared" si="15"/>
        <v>-1617.989999999998</v>
      </c>
      <c r="O949" t="s">
        <v>38</v>
      </c>
      <c r="P949" t="s">
        <v>24</v>
      </c>
      <c r="Q949" t="s">
        <v>39</v>
      </c>
    </row>
    <row r="950" spans="1:17" x14ac:dyDescent="0.3">
      <c r="A950" t="s">
        <v>1028</v>
      </c>
      <c r="B950" s="1">
        <v>45347</v>
      </c>
      <c r="C950" t="s">
        <v>34</v>
      </c>
      <c r="D950" t="s">
        <v>35</v>
      </c>
      <c r="E950" t="s">
        <v>151</v>
      </c>
      <c r="F950" t="s">
        <v>141</v>
      </c>
      <c r="G950" t="s">
        <v>142</v>
      </c>
      <c r="H950">
        <v>3500</v>
      </c>
      <c r="I950">
        <v>3</v>
      </c>
      <c r="J950">
        <v>10</v>
      </c>
      <c r="K950">
        <v>25</v>
      </c>
      <c r="L950">
        <v>9450</v>
      </c>
      <c r="M950">
        <v>8990.07</v>
      </c>
      <c r="N950">
        <f t="shared" si="15"/>
        <v>459.93000000000029</v>
      </c>
      <c r="O950" t="s">
        <v>38</v>
      </c>
      <c r="P950" t="s">
        <v>31</v>
      </c>
      <c r="Q950" t="s">
        <v>39</v>
      </c>
    </row>
    <row r="951" spans="1:17" x14ac:dyDescent="0.3">
      <c r="A951" t="s">
        <v>1029</v>
      </c>
      <c r="B951" s="1">
        <v>45351</v>
      </c>
      <c r="C951" t="s">
        <v>53</v>
      </c>
      <c r="D951" t="s">
        <v>41</v>
      </c>
      <c r="E951" t="s">
        <v>107</v>
      </c>
      <c r="F951" t="s">
        <v>108</v>
      </c>
      <c r="G951" t="s">
        <v>109</v>
      </c>
      <c r="H951">
        <v>18000</v>
      </c>
      <c r="I951">
        <v>6</v>
      </c>
      <c r="J951">
        <v>15</v>
      </c>
      <c r="K951">
        <v>0</v>
      </c>
      <c r="L951">
        <v>91800</v>
      </c>
      <c r="M951">
        <v>91452.02</v>
      </c>
      <c r="N951">
        <f t="shared" si="15"/>
        <v>347.97999999999593</v>
      </c>
      <c r="O951" t="s">
        <v>23</v>
      </c>
      <c r="P951" t="s">
        <v>31</v>
      </c>
      <c r="Q951" t="s">
        <v>32</v>
      </c>
    </row>
    <row r="952" spans="1:17" x14ac:dyDescent="0.3">
      <c r="A952" t="s">
        <v>1030</v>
      </c>
      <c r="B952" s="1">
        <v>45364</v>
      </c>
      <c r="C952" t="s">
        <v>34</v>
      </c>
      <c r="D952" t="s">
        <v>27</v>
      </c>
      <c r="E952" t="s">
        <v>102</v>
      </c>
      <c r="F952" t="s">
        <v>29</v>
      </c>
      <c r="G952" t="s">
        <v>43</v>
      </c>
      <c r="H952">
        <v>1500</v>
      </c>
      <c r="I952">
        <v>9</v>
      </c>
      <c r="J952">
        <v>10</v>
      </c>
      <c r="K952">
        <v>25</v>
      </c>
      <c r="L952">
        <v>12150</v>
      </c>
      <c r="M952">
        <v>11584.91</v>
      </c>
      <c r="N952">
        <f t="shared" si="15"/>
        <v>565.09000000000015</v>
      </c>
      <c r="O952" t="s">
        <v>38</v>
      </c>
      <c r="P952" t="s">
        <v>31</v>
      </c>
      <c r="Q952" t="s">
        <v>39</v>
      </c>
    </row>
    <row r="953" spans="1:17" x14ac:dyDescent="0.3">
      <c r="A953" t="s">
        <v>1031</v>
      </c>
      <c r="B953" s="1">
        <v>45418</v>
      </c>
      <c r="C953" t="s">
        <v>49</v>
      </c>
      <c r="D953" t="s">
        <v>35</v>
      </c>
      <c r="E953" t="s">
        <v>140</v>
      </c>
      <c r="F953" t="s">
        <v>141</v>
      </c>
      <c r="G953" t="s">
        <v>142</v>
      </c>
      <c r="H953">
        <v>12000</v>
      </c>
      <c r="I953">
        <v>7</v>
      </c>
      <c r="J953">
        <v>5</v>
      </c>
      <c r="K953">
        <v>0</v>
      </c>
      <c r="L953">
        <v>79800</v>
      </c>
      <c r="M953">
        <v>72854.740000000005</v>
      </c>
      <c r="N953">
        <f t="shared" si="15"/>
        <v>6945.2599999999948</v>
      </c>
      <c r="O953" t="s">
        <v>23</v>
      </c>
      <c r="P953" t="s">
        <v>31</v>
      </c>
      <c r="Q953" t="s">
        <v>32</v>
      </c>
    </row>
    <row r="954" spans="1:17" x14ac:dyDescent="0.3">
      <c r="A954" t="s">
        <v>1032</v>
      </c>
      <c r="B954" s="1">
        <v>45329</v>
      </c>
      <c r="C954" t="s">
        <v>49</v>
      </c>
      <c r="D954" t="s">
        <v>35</v>
      </c>
      <c r="E954" t="s">
        <v>107</v>
      </c>
      <c r="F954" t="s">
        <v>108</v>
      </c>
      <c r="G954" t="s">
        <v>109</v>
      </c>
      <c r="H954">
        <v>18000</v>
      </c>
      <c r="I954">
        <v>3</v>
      </c>
      <c r="J954">
        <v>15</v>
      </c>
      <c r="K954">
        <v>15</v>
      </c>
      <c r="L954">
        <v>45900</v>
      </c>
      <c r="M954">
        <v>45637.31</v>
      </c>
      <c r="N954">
        <f t="shared" si="15"/>
        <v>262.69000000000233</v>
      </c>
      <c r="O954" t="s">
        <v>23</v>
      </c>
      <c r="P954" t="s">
        <v>31</v>
      </c>
      <c r="Q954" t="s">
        <v>32</v>
      </c>
    </row>
    <row r="955" spans="1:17" x14ac:dyDescent="0.3">
      <c r="A955" t="s">
        <v>1033</v>
      </c>
      <c r="B955" s="1">
        <v>45422</v>
      </c>
      <c r="C955" t="s">
        <v>53</v>
      </c>
      <c r="D955" t="s">
        <v>35</v>
      </c>
      <c r="E955" t="s">
        <v>140</v>
      </c>
      <c r="F955" t="s">
        <v>141</v>
      </c>
      <c r="G955" t="s">
        <v>142</v>
      </c>
      <c r="H955">
        <v>12000</v>
      </c>
      <c r="I955">
        <v>2</v>
      </c>
      <c r="J955">
        <v>15</v>
      </c>
      <c r="K955">
        <v>10</v>
      </c>
      <c r="L955">
        <v>20400</v>
      </c>
      <c r="M955">
        <v>19096.86</v>
      </c>
      <c r="N955">
        <f t="shared" si="15"/>
        <v>1303.1399999999994</v>
      </c>
      <c r="O955" t="s">
        <v>23</v>
      </c>
      <c r="P955" t="s">
        <v>31</v>
      </c>
      <c r="Q955" t="s">
        <v>32</v>
      </c>
    </row>
    <row r="956" spans="1:17" x14ac:dyDescent="0.3">
      <c r="A956" t="s">
        <v>1034</v>
      </c>
      <c r="B956" s="1">
        <v>45297</v>
      </c>
      <c r="C956" t="s">
        <v>34</v>
      </c>
      <c r="D956" t="s">
        <v>35</v>
      </c>
      <c r="E956" t="s">
        <v>140</v>
      </c>
      <c r="F956" t="s">
        <v>141</v>
      </c>
      <c r="G956" t="s">
        <v>142</v>
      </c>
      <c r="H956">
        <v>12000</v>
      </c>
      <c r="I956">
        <v>6</v>
      </c>
      <c r="J956">
        <v>15</v>
      </c>
      <c r="K956">
        <v>5</v>
      </c>
      <c r="L956">
        <v>61200</v>
      </c>
      <c r="M956">
        <v>54660.89</v>
      </c>
      <c r="N956">
        <f t="shared" si="15"/>
        <v>6539.1100000000006</v>
      </c>
      <c r="O956" t="s">
        <v>23</v>
      </c>
      <c r="P956" t="s">
        <v>31</v>
      </c>
      <c r="Q956" t="s">
        <v>32</v>
      </c>
    </row>
    <row r="957" spans="1:17" x14ac:dyDescent="0.3">
      <c r="A957" t="s">
        <v>1035</v>
      </c>
      <c r="B957" s="1">
        <v>45303</v>
      </c>
      <c r="C957" t="s">
        <v>53</v>
      </c>
      <c r="D957" t="s">
        <v>27</v>
      </c>
      <c r="E957" t="s">
        <v>63</v>
      </c>
      <c r="F957" t="s">
        <v>64</v>
      </c>
      <c r="G957" t="s">
        <v>65</v>
      </c>
      <c r="H957">
        <v>4000</v>
      </c>
      <c r="I957">
        <v>1</v>
      </c>
      <c r="J957">
        <v>15</v>
      </c>
      <c r="K957">
        <v>20</v>
      </c>
      <c r="L957">
        <v>3400</v>
      </c>
      <c r="M957">
        <v>3418.93</v>
      </c>
      <c r="N957">
        <f t="shared" si="15"/>
        <v>-18.929999999999836</v>
      </c>
      <c r="O957" t="s">
        <v>38</v>
      </c>
      <c r="P957" t="s">
        <v>24</v>
      </c>
      <c r="Q957" t="s">
        <v>39</v>
      </c>
    </row>
    <row r="958" spans="1:17" x14ac:dyDescent="0.3">
      <c r="A958" t="s">
        <v>1036</v>
      </c>
      <c r="B958" s="1">
        <v>45365</v>
      </c>
      <c r="C958" t="s">
        <v>49</v>
      </c>
      <c r="D958" t="s">
        <v>92</v>
      </c>
      <c r="E958" t="s">
        <v>20</v>
      </c>
      <c r="F958" t="s">
        <v>21</v>
      </c>
      <c r="G958" t="s">
        <v>22</v>
      </c>
      <c r="H958">
        <v>6000</v>
      </c>
      <c r="I958">
        <v>8</v>
      </c>
      <c r="J958">
        <v>15</v>
      </c>
      <c r="K958">
        <v>10</v>
      </c>
      <c r="L958">
        <v>40800</v>
      </c>
      <c r="M958">
        <v>41351.99</v>
      </c>
      <c r="N958">
        <f t="shared" si="15"/>
        <v>-551.98999999999796</v>
      </c>
      <c r="O958" t="s">
        <v>23</v>
      </c>
      <c r="P958" t="s">
        <v>24</v>
      </c>
      <c r="Q958" t="s">
        <v>25</v>
      </c>
    </row>
    <row r="959" spans="1:17" x14ac:dyDescent="0.3">
      <c r="A959" t="s">
        <v>1037</v>
      </c>
      <c r="B959" s="1">
        <v>45388</v>
      </c>
      <c r="C959" t="s">
        <v>18</v>
      </c>
      <c r="D959" t="s">
        <v>19</v>
      </c>
      <c r="E959" t="s">
        <v>129</v>
      </c>
      <c r="F959" t="s">
        <v>21</v>
      </c>
      <c r="G959" t="s">
        <v>82</v>
      </c>
      <c r="H959">
        <v>3500</v>
      </c>
      <c r="I959">
        <v>4</v>
      </c>
      <c r="J959">
        <v>10</v>
      </c>
      <c r="K959">
        <v>0</v>
      </c>
      <c r="L959">
        <v>12600</v>
      </c>
      <c r="M959">
        <v>11124.27</v>
      </c>
      <c r="N959">
        <f t="shared" si="15"/>
        <v>1475.7299999999996</v>
      </c>
      <c r="O959" t="s">
        <v>23</v>
      </c>
      <c r="P959" t="s">
        <v>31</v>
      </c>
      <c r="Q959" t="s">
        <v>32</v>
      </c>
    </row>
    <row r="960" spans="1:17" x14ac:dyDescent="0.3">
      <c r="A960" t="s">
        <v>1038</v>
      </c>
      <c r="B960" s="1">
        <v>45402</v>
      </c>
      <c r="C960" t="s">
        <v>53</v>
      </c>
      <c r="D960" t="s">
        <v>35</v>
      </c>
      <c r="E960" t="s">
        <v>104</v>
      </c>
      <c r="F960" t="s">
        <v>29</v>
      </c>
      <c r="G960" t="s">
        <v>30</v>
      </c>
      <c r="H960">
        <v>1200</v>
      </c>
      <c r="I960">
        <v>6</v>
      </c>
      <c r="J960">
        <v>10</v>
      </c>
      <c r="K960">
        <v>15</v>
      </c>
      <c r="L960">
        <v>6480</v>
      </c>
      <c r="M960">
        <v>6125.73</v>
      </c>
      <c r="N960">
        <f t="shared" si="15"/>
        <v>354.27000000000044</v>
      </c>
      <c r="O960" t="s">
        <v>38</v>
      </c>
      <c r="P960" t="s">
        <v>31</v>
      </c>
      <c r="Q960" t="s">
        <v>39</v>
      </c>
    </row>
    <row r="961" spans="1:17" x14ac:dyDescent="0.3">
      <c r="A961" t="s">
        <v>1039</v>
      </c>
      <c r="B961" s="1">
        <v>45296</v>
      </c>
      <c r="C961" t="s">
        <v>53</v>
      </c>
      <c r="D961" t="s">
        <v>27</v>
      </c>
      <c r="E961" t="s">
        <v>107</v>
      </c>
      <c r="F961" t="s">
        <v>108</v>
      </c>
      <c r="G961" t="s">
        <v>109</v>
      </c>
      <c r="H961">
        <v>18000</v>
      </c>
      <c r="I961">
        <v>7</v>
      </c>
      <c r="J961">
        <v>5</v>
      </c>
      <c r="K961">
        <v>15</v>
      </c>
      <c r="L961">
        <v>119700</v>
      </c>
      <c r="M961">
        <v>104917.08</v>
      </c>
      <c r="N961">
        <f t="shared" si="15"/>
        <v>14782.919999999998</v>
      </c>
      <c r="O961" t="s">
        <v>38</v>
      </c>
      <c r="P961" t="s">
        <v>31</v>
      </c>
      <c r="Q961" t="s">
        <v>39</v>
      </c>
    </row>
    <row r="962" spans="1:17" x14ac:dyDescent="0.3">
      <c r="A962" t="s">
        <v>1040</v>
      </c>
      <c r="B962" s="1">
        <v>45351</v>
      </c>
      <c r="C962" t="s">
        <v>53</v>
      </c>
      <c r="D962" t="s">
        <v>27</v>
      </c>
      <c r="E962" t="s">
        <v>90</v>
      </c>
      <c r="F962" t="s">
        <v>29</v>
      </c>
      <c r="G962" t="s">
        <v>37</v>
      </c>
      <c r="H962">
        <v>6500</v>
      </c>
      <c r="I962">
        <v>7</v>
      </c>
      <c r="J962">
        <v>5</v>
      </c>
      <c r="K962">
        <v>15</v>
      </c>
      <c r="L962">
        <v>43225</v>
      </c>
      <c r="M962">
        <v>42979.75</v>
      </c>
      <c r="N962">
        <f t="shared" si="15"/>
        <v>245.25</v>
      </c>
      <c r="O962" t="s">
        <v>38</v>
      </c>
      <c r="P962" t="s">
        <v>31</v>
      </c>
      <c r="Q962" t="s">
        <v>39</v>
      </c>
    </row>
    <row r="963" spans="1:17" x14ac:dyDescent="0.3">
      <c r="A963" t="s">
        <v>1041</v>
      </c>
      <c r="B963" s="1">
        <v>45412</v>
      </c>
      <c r="C963" t="s">
        <v>18</v>
      </c>
      <c r="D963" t="s">
        <v>27</v>
      </c>
      <c r="E963" t="s">
        <v>81</v>
      </c>
      <c r="F963" t="s">
        <v>21</v>
      </c>
      <c r="G963" t="s">
        <v>82</v>
      </c>
      <c r="H963">
        <v>8000</v>
      </c>
      <c r="I963">
        <v>9</v>
      </c>
      <c r="J963">
        <v>10</v>
      </c>
      <c r="K963">
        <v>10</v>
      </c>
      <c r="L963">
        <v>64800</v>
      </c>
      <c r="M963">
        <v>60532.59</v>
      </c>
      <c r="N963">
        <f t="shared" ref="N963:N1026" si="16">L963-M963</f>
        <v>4267.4100000000035</v>
      </c>
      <c r="O963" t="s">
        <v>23</v>
      </c>
      <c r="P963" t="s">
        <v>31</v>
      </c>
      <c r="Q963" t="s">
        <v>32</v>
      </c>
    </row>
    <row r="964" spans="1:17" x14ac:dyDescent="0.3">
      <c r="A964" t="s">
        <v>1042</v>
      </c>
      <c r="B964" s="1">
        <v>45307</v>
      </c>
      <c r="C964" t="s">
        <v>18</v>
      </c>
      <c r="D964" t="s">
        <v>41</v>
      </c>
      <c r="E964" t="s">
        <v>36</v>
      </c>
      <c r="F964" t="s">
        <v>29</v>
      </c>
      <c r="G964" t="s">
        <v>37</v>
      </c>
      <c r="H964">
        <v>1200</v>
      </c>
      <c r="I964">
        <v>13</v>
      </c>
      <c r="J964">
        <v>5</v>
      </c>
      <c r="K964">
        <v>0</v>
      </c>
      <c r="L964">
        <v>14820</v>
      </c>
      <c r="M964">
        <v>12790.67</v>
      </c>
      <c r="N964">
        <f t="shared" si="16"/>
        <v>2029.33</v>
      </c>
      <c r="O964" t="s">
        <v>23</v>
      </c>
      <c r="P964" t="s">
        <v>31</v>
      </c>
      <c r="Q964" t="s">
        <v>32</v>
      </c>
    </row>
    <row r="965" spans="1:17" x14ac:dyDescent="0.3">
      <c r="A965" t="s">
        <v>1043</v>
      </c>
      <c r="B965" s="1">
        <v>45438</v>
      </c>
      <c r="C965" t="s">
        <v>49</v>
      </c>
      <c r="D965" t="s">
        <v>19</v>
      </c>
      <c r="E965" t="s">
        <v>50</v>
      </c>
      <c r="F965" t="s">
        <v>21</v>
      </c>
      <c r="G965" t="s">
        <v>51</v>
      </c>
      <c r="H965">
        <v>4500</v>
      </c>
      <c r="I965">
        <v>9</v>
      </c>
      <c r="J965">
        <v>5</v>
      </c>
      <c r="K965">
        <v>15</v>
      </c>
      <c r="L965">
        <v>38475</v>
      </c>
      <c r="M965">
        <v>34259.550000000003</v>
      </c>
      <c r="N965">
        <f t="shared" si="16"/>
        <v>4215.4499999999971</v>
      </c>
      <c r="O965" t="s">
        <v>38</v>
      </c>
      <c r="P965" t="s">
        <v>31</v>
      </c>
      <c r="Q965" t="s">
        <v>39</v>
      </c>
    </row>
    <row r="966" spans="1:17" x14ac:dyDescent="0.3">
      <c r="A966" t="s">
        <v>1044</v>
      </c>
      <c r="B966" s="1">
        <v>45447</v>
      </c>
      <c r="C966" t="s">
        <v>53</v>
      </c>
      <c r="D966" t="s">
        <v>35</v>
      </c>
      <c r="E966" t="s">
        <v>75</v>
      </c>
      <c r="F966" t="s">
        <v>76</v>
      </c>
      <c r="G966" t="s">
        <v>77</v>
      </c>
      <c r="H966">
        <v>8000</v>
      </c>
      <c r="I966">
        <v>12</v>
      </c>
      <c r="J966">
        <v>10</v>
      </c>
      <c r="K966">
        <v>5</v>
      </c>
      <c r="L966">
        <v>86400</v>
      </c>
      <c r="M966">
        <v>75145.990000000005</v>
      </c>
      <c r="N966">
        <f t="shared" si="16"/>
        <v>11254.009999999995</v>
      </c>
      <c r="O966" t="s">
        <v>23</v>
      </c>
      <c r="P966" t="s">
        <v>31</v>
      </c>
      <c r="Q966" t="s">
        <v>32</v>
      </c>
    </row>
    <row r="967" spans="1:17" x14ac:dyDescent="0.3">
      <c r="A967" t="s">
        <v>1045</v>
      </c>
      <c r="B967" s="1">
        <v>45431</v>
      </c>
      <c r="C967" t="s">
        <v>18</v>
      </c>
      <c r="D967" t="s">
        <v>92</v>
      </c>
      <c r="E967" t="s">
        <v>151</v>
      </c>
      <c r="F967" t="s">
        <v>141</v>
      </c>
      <c r="G967" t="s">
        <v>142</v>
      </c>
      <c r="H967">
        <v>3500</v>
      </c>
      <c r="I967">
        <v>12</v>
      </c>
      <c r="J967">
        <v>5</v>
      </c>
      <c r="K967">
        <v>5</v>
      </c>
      <c r="L967">
        <v>39900</v>
      </c>
      <c r="M967">
        <v>35770.04</v>
      </c>
      <c r="N967">
        <f t="shared" si="16"/>
        <v>4129.9599999999991</v>
      </c>
      <c r="O967" t="s">
        <v>23</v>
      </c>
      <c r="P967" t="s">
        <v>31</v>
      </c>
      <c r="Q967" t="s">
        <v>32</v>
      </c>
    </row>
    <row r="968" spans="1:17" x14ac:dyDescent="0.3">
      <c r="A968" t="s">
        <v>1046</v>
      </c>
      <c r="B968" s="1">
        <v>45412</v>
      </c>
      <c r="C968" t="s">
        <v>18</v>
      </c>
      <c r="D968" t="s">
        <v>27</v>
      </c>
      <c r="E968" t="s">
        <v>107</v>
      </c>
      <c r="F968" t="s">
        <v>108</v>
      </c>
      <c r="G968" t="s">
        <v>109</v>
      </c>
      <c r="H968">
        <v>18000</v>
      </c>
      <c r="I968">
        <v>5</v>
      </c>
      <c r="J968">
        <v>10</v>
      </c>
      <c r="K968">
        <v>10</v>
      </c>
      <c r="L968">
        <v>81000</v>
      </c>
      <c r="M968">
        <v>83343.66</v>
      </c>
      <c r="N968">
        <f t="shared" si="16"/>
        <v>-2343.6600000000035</v>
      </c>
      <c r="O968" t="s">
        <v>23</v>
      </c>
      <c r="P968" t="s">
        <v>24</v>
      </c>
      <c r="Q968" t="s">
        <v>25</v>
      </c>
    </row>
    <row r="969" spans="1:17" x14ac:dyDescent="0.3">
      <c r="A969" t="s">
        <v>1047</v>
      </c>
      <c r="B969" s="1">
        <v>45295</v>
      </c>
      <c r="C969" t="s">
        <v>53</v>
      </c>
      <c r="D969" t="s">
        <v>41</v>
      </c>
      <c r="E969" t="s">
        <v>167</v>
      </c>
      <c r="F969" t="s">
        <v>21</v>
      </c>
      <c r="G969" t="s">
        <v>82</v>
      </c>
      <c r="H969">
        <v>7000</v>
      </c>
      <c r="I969">
        <v>10</v>
      </c>
      <c r="J969">
        <v>10</v>
      </c>
      <c r="K969">
        <v>0</v>
      </c>
      <c r="L969">
        <v>63000</v>
      </c>
      <c r="M969">
        <v>60044.58</v>
      </c>
      <c r="N969">
        <f t="shared" si="16"/>
        <v>2955.4199999999983</v>
      </c>
      <c r="O969" t="s">
        <v>23</v>
      </c>
      <c r="P969" t="s">
        <v>31</v>
      </c>
      <c r="Q969" t="s">
        <v>32</v>
      </c>
    </row>
    <row r="970" spans="1:17" x14ac:dyDescent="0.3">
      <c r="A970" t="s">
        <v>1048</v>
      </c>
      <c r="B970" s="1">
        <v>45317</v>
      </c>
      <c r="C970" t="s">
        <v>49</v>
      </c>
      <c r="D970" t="s">
        <v>27</v>
      </c>
      <c r="E970" t="s">
        <v>61</v>
      </c>
      <c r="F970" t="s">
        <v>29</v>
      </c>
      <c r="G970" t="s">
        <v>43</v>
      </c>
      <c r="H970">
        <v>2800</v>
      </c>
      <c r="I970">
        <v>15</v>
      </c>
      <c r="J970">
        <v>5</v>
      </c>
      <c r="K970">
        <v>0</v>
      </c>
      <c r="L970">
        <v>39900</v>
      </c>
      <c r="M970">
        <v>40163.120000000003</v>
      </c>
      <c r="N970">
        <f t="shared" si="16"/>
        <v>-263.12000000000262</v>
      </c>
      <c r="O970" t="s">
        <v>23</v>
      </c>
      <c r="P970" t="s">
        <v>24</v>
      </c>
      <c r="Q970" t="s">
        <v>25</v>
      </c>
    </row>
    <row r="971" spans="1:17" x14ac:dyDescent="0.3">
      <c r="A971" t="s">
        <v>1049</v>
      </c>
      <c r="B971" s="1">
        <v>45367</v>
      </c>
      <c r="C971" t="s">
        <v>49</v>
      </c>
      <c r="D971" t="s">
        <v>27</v>
      </c>
      <c r="E971" t="s">
        <v>75</v>
      </c>
      <c r="F971" t="s">
        <v>76</v>
      </c>
      <c r="G971" t="s">
        <v>77</v>
      </c>
      <c r="H971">
        <v>8000</v>
      </c>
      <c r="I971">
        <v>6</v>
      </c>
      <c r="J971">
        <v>10</v>
      </c>
      <c r="K971">
        <v>0</v>
      </c>
      <c r="L971">
        <v>43200</v>
      </c>
      <c r="M971">
        <v>42415.8</v>
      </c>
      <c r="N971">
        <f t="shared" si="16"/>
        <v>784.19999999999709</v>
      </c>
      <c r="O971" t="s">
        <v>23</v>
      </c>
      <c r="P971" t="s">
        <v>31</v>
      </c>
      <c r="Q971" t="s">
        <v>32</v>
      </c>
    </row>
    <row r="972" spans="1:17" x14ac:dyDescent="0.3">
      <c r="A972" t="s">
        <v>1050</v>
      </c>
      <c r="B972" s="1">
        <v>45451</v>
      </c>
      <c r="C972" t="s">
        <v>18</v>
      </c>
      <c r="D972" t="s">
        <v>27</v>
      </c>
      <c r="E972" t="s">
        <v>102</v>
      </c>
      <c r="F972" t="s">
        <v>29</v>
      </c>
      <c r="G972" t="s">
        <v>43</v>
      </c>
      <c r="H972">
        <v>1500</v>
      </c>
      <c r="I972">
        <v>15</v>
      </c>
      <c r="J972">
        <v>15</v>
      </c>
      <c r="K972">
        <v>5</v>
      </c>
      <c r="L972">
        <v>19125</v>
      </c>
      <c r="M972">
        <v>19299.689999999999</v>
      </c>
      <c r="N972">
        <f t="shared" si="16"/>
        <v>-174.68999999999869</v>
      </c>
      <c r="O972" t="s">
        <v>23</v>
      </c>
      <c r="P972" t="s">
        <v>24</v>
      </c>
      <c r="Q972" t="s">
        <v>25</v>
      </c>
    </row>
    <row r="973" spans="1:17" x14ac:dyDescent="0.3">
      <c r="A973" t="s">
        <v>1051</v>
      </c>
      <c r="B973" s="1">
        <v>45307</v>
      </c>
      <c r="C973" t="s">
        <v>34</v>
      </c>
      <c r="D973" t="s">
        <v>41</v>
      </c>
      <c r="E973" t="s">
        <v>36</v>
      </c>
      <c r="F973" t="s">
        <v>29</v>
      </c>
      <c r="G973" t="s">
        <v>37</v>
      </c>
      <c r="H973">
        <v>1200</v>
      </c>
      <c r="I973">
        <v>2</v>
      </c>
      <c r="J973">
        <v>10</v>
      </c>
      <c r="K973">
        <v>0</v>
      </c>
      <c r="L973">
        <v>2160</v>
      </c>
      <c r="M973">
        <v>1869.85</v>
      </c>
      <c r="N973">
        <f t="shared" si="16"/>
        <v>290.15000000000009</v>
      </c>
      <c r="O973" t="s">
        <v>23</v>
      </c>
      <c r="P973" t="s">
        <v>31</v>
      </c>
      <c r="Q973" t="s">
        <v>32</v>
      </c>
    </row>
    <row r="974" spans="1:17" x14ac:dyDescent="0.3">
      <c r="A974" t="s">
        <v>1052</v>
      </c>
      <c r="B974" s="1">
        <v>45313</v>
      </c>
      <c r="C974" t="s">
        <v>53</v>
      </c>
      <c r="D974" t="s">
        <v>35</v>
      </c>
      <c r="E974" t="s">
        <v>140</v>
      </c>
      <c r="F974" t="s">
        <v>141</v>
      </c>
      <c r="G974" t="s">
        <v>142</v>
      </c>
      <c r="H974">
        <v>12000</v>
      </c>
      <c r="I974">
        <v>9</v>
      </c>
      <c r="J974">
        <v>10</v>
      </c>
      <c r="K974">
        <v>0</v>
      </c>
      <c r="L974">
        <v>97200</v>
      </c>
      <c r="M974">
        <v>82941.67</v>
      </c>
      <c r="N974">
        <f t="shared" si="16"/>
        <v>14258.330000000002</v>
      </c>
      <c r="O974" t="s">
        <v>23</v>
      </c>
      <c r="P974" t="s">
        <v>31</v>
      </c>
      <c r="Q974" t="s">
        <v>32</v>
      </c>
    </row>
    <row r="975" spans="1:17" x14ac:dyDescent="0.3">
      <c r="A975" t="s">
        <v>1053</v>
      </c>
      <c r="B975" s="1">
        <v>45296</v>
      </c>
      <c r="C975" t="s">
        <v>49</v>
      </c>
      <c r="D975" t="s">
        <v>27</v>
      </c>
      <c r="E975" t="s">
        <v>63</v>
      </c>
      <c r="F975" t="s">
        <v>64</v>
      </c>
      <c r="G975" t="s">
        <v>65</v>
      </c>
      <c r="H975">
        <v>4000</v>
      </c>
      <c r="I975">
        <v>8</v>
      </c>
      <c r="J975">
        <v>15</v>
      </c>
      <c r="K975">
        <v>25</v>
      </c>
      <c r="L975">
        <v>27200</v>
      </c>
      <c r="M975">
        <v>25747.03</v>
      </c>
      <c r="N975">
        <f t="shared" si="16"/>
        <v>1452.9700000000012</v>
      </c>
      <c r="O975" t="s">
        <v>38</v>
      </c>
      <c r="P975" t="s">
        <v>31</v>
      </c>
      <c r="Q975" t="s">
        <v>39</v>
      </c>
    </row>
    <row r="976" spans="1:17" x14ac:dyDescent="0.3">
      <c r="A976" t="s">
        <v>1054</v>
      </c>
      <c r="B976" s="1">
        <v>45454</v>
      </c>
      <c r="C976" t="s">
        <v>34</v>
      </c>
      <c r="D976" t="s">
        <v>27</v>
      </c>
      <c r="E976" t="s">
        <v>54</v>
      </c>
      <c r="F976" t="s">
        <v>46</v>
      </c>
      <c r="G976" t="s">
        <v>55</v>
      </c>
      <c r="H976">
        <v>4500</v>
      </c>
      <c r="I976">
        <v>1</v>
      </c>
      <c r="J976">
        <v>15</v>
      </c>
      <c r="K976">
        <v>25</v>
      </c>
      <c r="L976">
        <v>3825</v>
      </c>
      <c r="M976">
        <v>3454.37</v>
      </c>
      <c r="N976">
        <f t="shared" si="16"/>
        <v>370.63000000000011</v>
      </c>
      <c r="O976" t="s">
        <v>38</v>
      </c>
      <c r="P976" t="s">
        <v>31</v>
      </c>
      <c r="Q976" t="s">
        <v>39</v>
      </c>
    </row>
    <row r="977" spans="1:17" x14ac:dyDescent="0.3">
      <c r="A977" t="s">
        <v>1055</v>
      </c>
      <c r="B977" s="1">
        <v>45294</v>
      </c>
      <c r="C977" t="s">
        <v>53</v>
      </c>
      <c r="D977" t="s">
        <v>27</v>
      </c>
      <c r="E977" t="s">
        <v>28</v>
      </c>
      <c r="F977" t="s">
        <v>29</v>
      </c>
      <c r="G977" t="s">
        <v>30</v>
      </c>
      <c r="H977">
        <v>1800</v>
      </c>
      <c r="I977">
        <v>4</v>
      </c>
      <c r="J977">
        <v>15</v>
      </c>
      <c r="K977">
        <v>20</v>
      </c>
      <c r="L977">
        <v>6120</v>
      </c>
      <c r="M977">
        <v>5458.38</v>
      </c>
      <c r="N977">
        <f t="shared" si="16"/>
        <v>661.61999999999989</v>
      </c>
      <c r="O977" t="s">
        <v>38</v>
      </c>
      <c r="P977" t="s">
        <v>31</v>
      </c>
      <c r="Q977" t="s">
        <v>39</v>
      </c>
    </row>
    <row r="978" spans="1:17" x14ac:dyDescent="0.3">
      <c r="A978" t="s">
        <v>1056</v>
      </c>
      <c r="B978" s="1">
        <v>45367</v>
      </c>
      <c r="C978" t="s">
        <v>18</v>
      </c>
      <c r="D978" t="s">
        <v>41</v>
      </c>
      <c r="E978" t="s">
        <v>42</v>
      </c>
      <c r="F978" t="s">
        <v>29</v>
      </c>
      <c r="G978" t="s">
        <v>43</v>
      </c>
      <c r="H978">
        <v>500</v>
      </c>
      <c r="I978">
        <v>1</v>
      </c>
      <c r="J978">
        <v>15</v>
      </c>
      <c r="K978">
        <v>20</v>
      </c>
      <c r="L978">
        <v>425</v>
      </c>
      <c r="M978">
        <v>362.33</v>
      </c>
      <c r="N978">
        <f t="shared" si="16"/>
        <v>62.670000000000016</v>
      </c>
      <c r="O978" t="s">
        <v>38</v>
      </c>
      <c r="P978" t="s">
        <v>31</v>
      </c>
      <c r="Q978" t="s">
        <v>39</v>
      </c>
    </row>
    <row r="979" spans="1:17" x14ac:dyDescent="0.3">
      <c r="A979" t="s">
        <v>1057</v>
      </c>
      <c r="B979" s="1">
        <v>45452</v>
      </c>
      <c r="C979" t="s">
        <v>18</v>
      </c>
      <c r="D979" t="s">
        <v>70</v>
      </c>
      <c r="E979" t="s">
        <v>50</v>
      </c>
      <c r="F979" t="s">
        <v>21</v>
      </c>
      <c r="G979" t="s">
        <v>51</v>
      </c>
      <c r="H979">
        <v>4500</v>
      </c>
      <c r="I979">
        <v>1</v>
      </c>
      <c r="J979">
        <v>10</v>
      </c>
      <c r="K979">
        <v>5</v>
      </c>
      <c r="L979">
        <v>4050</v>
      </c>
      <c r="M979">
        <v>3658.01</v>
      </c>
      <c r="N979">
        <f t="shared" si="16"/>
        <v>391.98999999999978</v>
      </c>
      <c r="O979" t="s">
        <v>23</v>
      </c>
      <c r="P979" t="s">
        <v>31</v>
      </c>
      <c r="Q979" t="s">
        <v>32</v>
      </c>
    </row>
    <row r="980" spans="1:17" x14ac:dyDescent="0.3">
      <c r="A980" t="s">
        <v>1058</v>
      </c>
      <c r="B980" s="1">
        <v>45298</v>
      </c>
      <c r="C980" t="s">
        <v>53</v>
      </c>
      <c r="D980" t="s">
        <v>92</v>
      </c>
      <c r="E980" t="s">
        <v>104</v>
      </c>
      <c r="F980" t="s">
        <v>29</v>
      </c>
      <c r="G980" t="s">
        <v>30</v>
      </c>
      <c r="H980">
        <v>1200</v>
      </c>
      <c r="I980">
        <v>5</v>
      </c>
      <c r="J980">
        <v>15</v>
      </c>
      <c r="K980">
        <v>5</v>
      </c>
      <c r="L980">
        <v>5100</v>
      </c>
      <c r="M980">
        <v>5186.63</v>
      </c>
      <c r="N980">
        <f t="shared" si="16"/>
        <v>-86.630000000000109</v>
      </c>
      <c r="O980" t="s">
        <v>23</v>
      </c>
      <c r="P980" t="s">
        <v>24</v>
      </c>
      <c r="Q980" t="s">
        <v>25</v>
      </c>
    </row>
    <row r="981" spans="1:17" x14ac:dyDescent="0.3">
      <c r="A981" t="s">
        <v>1059</v>
      </c>
      <c r="B981" s="1">
        <v>45366</v>
      </c>
      <c r="C981" t="s">
        <v>53</v>
      </c>
      <c r="D981" t="s">
        <v>27</v>
      </c>
      <c r="E981" t="s">
        <v>28</v>
      </c>
      <c r="F981" t="s">
        <v>29</v>
      </c>
      <c r="G981" t="s">
        <v>30</v>
      </c>
      <c r="H981">
        <v>1800</v>
      </c>
      <c r="I981">
        <v>3</v>
      </c>
      <c r="J981">
        <v>15</v>
      </c>
      <c r="K981">
        <v>20</v>
      </c>
      <c r="L981">
        <v>4590</v>
      </c>
      <c r="M981">
        <v>4149.59</v>
      </c>
      <c r="N981">
        <f t="shared" si="16"/>
        <v>440.40999999999985</v>
      </c>
      <c r="O981" t="s">
        <v>38</v>
      </c>
      <c r="P981" t="s">
        <v>31</v>
      </c>
      <c r="Q981" t="s">
        <v>39</v>
      </c>
    </row>
    <row r="982" spans="1:17" x14ac:dyDescent="0.3">
      <c r="A982" t="s">
        <v>1060</v>
      </c>
      <c r="B982" s="1">
        <v>45429</v>
      </c>
      <c r="C982" t="s">
        <v>18</v>
      </c>
      <c r="D982" t="s">
        <v>19</v>
      </c>
      <c r="E982" t="s">
        <v>102</v>
      </c>
      <c r="F982" t="s">
        <v>29</v>
      </c>
      <c r="G982" t="s">
        <v>43</v>
      </c>
      <c r="H982">
        <v>1500</v>
      </c>
      <c r="I982">
        <v>3</v>
      </c>
      <c r="J982">
        <v>5</v>
      </c>
      <c r="K982">
        <v>25</v>
      </c>
      <c r="L982">
        <v>4275</v>
      </c>
      <c r="M982">
        <v>4468.21</v>
      </c>
      <c r="N982">
        <f t="shared" si="16"/>
        <v>-193.21000000000004</v>
      </c>
      <c r="O982" t="s">
        <v>38</v>
      </c>
      <c r="P982" t="s">
        <v>24</v>
      </c>
      <c r="Q982" t="s">
        <v>39</v>
      </c>
    </row>
    <row r="983" spans="1:17" x14ac:dyDescent="0.3">
      <c r="A983" t="s">
        <v>1061</v>
      </c>
      <c r="B983" s="1">
        <v>45336</v>
      </c>
      <c r="C983" t="s">
        <v>53</v>
      </c>
      <c r="D983" t="s">
        <v>92</v>
      </c>
      <c r="E983" t="s">
        <v>50</v>
      </c>
      <c r="F983" t="s">
        <v>21</v>
      </c>
      <c r="G983" t="s">
        <v>51</v>
      </c>
      <c r="H983">
        <v>4500</v>
      </c>
      <c r="I983">
        <v>12</v>
      </c>
      <c r="J983">
        <v>5</v>
      </c>
      <c r="K983">
        <v>15</v>
      </c>
      <c r="L983">
        <v>51300</v>
      </c>
      <c r="M983">
        <v>43810.96</v>
      </c>
      <c r="N983">
        <f t="shared" si="16"/>
        <v>7489.0400000000009</v>
      </c>
      <c r="O983" t="s">
        <v>38</v>
      </c>
      <c r="P983" t="s">
        <v>31</v>
      </c>
      <c r="Q983" t="s">
        <v>39</v>
      </c>
    </row>
    <row r="984" spans="1:17" x14ac:dyDescent="0.3">
      <c r="A984" t="s">
        <v>1062</v>
      </c>
      <c r="B984" s="1">
        <v>45393</v>
      </c>
      <c r="C984" t="s">
        <v>18</v>
      </c>
      <c r="D984" t="s">
        <v>41</v>
      </c>
      <c r="E984" t="s">
        <v>63</v>
      </c>
      <c r="F984" t="s">
        <v>64</v>
      </c>
      <c r="G984" t="s">
        <v>65</v>
      </c>
      <c r="H984">
        <v>4000</v>
      </c>
      <c r="I984">
        <v>3</v>
      </c>
      <c r="J984">
        <v>5</v>
      </c>
      <c r="K984">
        <v>0</v>
      </c>
      <c r="L984">
        <v>11400</v>
      </c>
      <c r="M984">
        <v>11079.51</v>
      </c>
      <c r="N984">
        <f t="shared" si="16"/>
        <v>320.48999999999978</v>
      </c>
      <c r="O984" t="s">
        <v>23</v>
      </c>
      <c r="P984" t="s">
        <v>31</v>
      </c>
      <c r="Q984" t="s">
        <v>32</v>
      </c>
    </row>
    <row r="985" spans="1:17" x14ac:dyDescent="0.3">
      <c r="A985" t="s">
        <v>1063</v>
      </c>
      <c r="B985" s="1">
        <v>45444</v>
      </c>
      <c r="C985" t="s">
        <v>34</v>
      </c>
      <c r="D985" t="s">
        <v>70</v>
      </c>
      <c r="E985" t="s">
        <v>28</v>
      </c>
      <c r="F985" t="s">
        <v>29</v>
      </c>
      <c r="G985" t="s">
        <v>30</v>
      </c>
      <c r="H985">
        <v>1800</v>
      </c>
      <c r="I985">
        <v>7</v>
      </c>
      <c r="J985">
        <v>10</v>
      </c>
      <c r="K985">
        <v>0</v>
      </c>
      <c r="L985">
        <v>11340</v>
      </c>
      <c r="M985">
        <v>11724.32</v>
      </c>
      <c r="N985">
        <f t="shared" si="16"/>
        <v>-384.31999999999971</v>
      </c>
      <c r="O985" t="s">
        <v>23</v>
      </c>
      <c r="P985" t="s">
        <v>24</v>
      </c>
      <c r="Q985" t="s">
        <v>25</v>
      </c>
    </row>
    <row r="986" spans="1:17" x14ac:dyDescent="0.3">
      <c r="A986" t="s">
        <v>1064</v>
      </c>
      <c r="B986" s="1">
        <v>45328</v>
      </c>
      <c r="C986" t="s">
        <v>18</v>
      </c>
      <c r="D986" t="s">
        <v>70</v>
      </c>
      <c r="E986" t="s">
        <v>167</v>
      </c>
      <c r="F986" t="s">
        <v>21</v>
      </c>
      <c r="G986" t="s">
        <v>82</v>
      </c>
      <c r="H986">
        <v>7000</v>
      </c>
      <c r="I986">
        <v>3</v>
      </c>
      <c r="J986">
        <v>10</v>
      </c>
      <c r="K986">
        <v>5</v>
      </c>
      <c r="L986">
        <v>18900</v>
      </c>
      <c r="M986">
        <v>19090.78</v>
      </c>
      <c r="N986">
        <f t="shared" si="16"/>
        <v>-190.77999999999884</v>
      </c>
      <c r="O986" t="s">
        <v>23</v>
      </c>
      <c r="P986" t="s">
        <v>24</v>
      </c>
      <c r="Q986" t="s">
        <v>25</v>
      </c>
    </row>
    <row r="987" spans="1:17" x14ac:dyDescent="0.3">
      <c r="A987" t="s">
        <v>1065</v>
      </c>
      <c r="B987" s="1">
        <v>45324</v>
      </c>
      <c r="C987" t="s">
        <v>49</v>
      </c>
      <c r="D987" t="s">
        <v>27</v>
      </c>
      <c r="E987" t="s">
        <v>67</v>
      </c>
      <c r="F987" t="s">
        <v>29</v>
      </c>
      <c r="G987" t="s">
        <v>68</v>
      </c>
      <c r="H987">
        <v>1200</v>
      </c>
      <c r="I987">
        <v>5</v>
      </c>
      <c r="J987">
        <v>15</v>
      </c>
      <c r="K987">
        <v>20</v>
      </c>
      <c r="L987">
        <v>5100</v>
      </c>
      <c r="M987">
        <v>4586.79</v>
      </c>
      <c r="N987">
        <f t="shared" si="16"/>
        <v>513.21</v>
      </c>
      <c r="O987" t="s">
        <v>38</v>
      </c>
      <c r="P987" t="s">
        <v>31</v>
      </c>
      <c r="Q987" t="s">
        <v>39</v>
      </c>
    </row>
    <row r="988" spans="1:17" x14ac:dyDescent="0.3">
      <c r="A988" t="s">
        <v>1066</v>
      </c>
      <c r="B988" s="1">
        <v>45468</v>
      </c>
      <c r="C988" t="s">
        <v>49</v>
      </c>
      <c r="D988" t="s">
        <v>19</v>
      </c>
      <c r="E988" t="s">
        <v>167</v>
      </c>
      <c r="F988" t="s">
        <v>21</v>
      </c>
      <c r="G988" t="s">
        <v>82</v>
      </c>
      <c r="H988">
        <v>7000</v>
      </c>
      <c r="I988">
        <v>2</v>
      </c>
      <c r="J988">
        <v>10</v>
      </c>
      <c r="K988">
        <v>5</v>
      </c>
      <c r="L988">
        <v>12600</v>
      </c>
      <c r="M988">
        <v>12911.9</v>
      </c>
      <c r="N988">
        <f t="shared" si="16"/>
        <v>-311.89999999999964</v>
      </c>
      <c r="O988" t="s">
        <v>23</v>
      </c>
      <c r="P988" t="s">
        <v>24</v>
      </c>
      <c r="Q988" t="s">
        <v>25</v>
      </c>
    </row>
    <row r="989" spans="1:17" x14ac:dyDescent="0.3">
      <c r="A989" t="s">
        <v>1067</v>
      </c>
      <c r="B989" s="1">
        <v>45428</v>
      </c>
      <c r="C989" t="s">
        <v>18</v>
      </c>
      <c r="D989" t="s">
        <v>41</v>
      </c>
      <c r="E989" t="s">
        <v>151</v>
      </c>
      <c r="F989" t="s">
        <v>141</v>
      </c>
      <c r="G989" t="s">
        <v>142</v>
      </c>
      <c r="H989">
        <v>3500</v>
      </c>
      <c r="I989">
        <v>13</v>
      </c>
      <c r="J989">
        <v>10</v>
      </c>
      <c r="K989">
        <v>0</v>
      </c>
      <c r="L989">
        <v>40950</v>
      </c>
      <c r="M989">
        <v>38021.839999999997</v>
      </c>
      <c r="N989">
        <f t="shared" si="16"/>
        <v>2928.1600000000035</v>
      </c>
      <c r="O989" t="s">
        <v>23</v>
      </c>
      <c r="P989" t="s">
        <v>31</v>
      </c>
      <c r="Q989" t="s">
        <v>32</v>
      </c>
    </row>
    <row r="990" spans="1:17" x14ac:dyDescent="0.3">
      <c r="A990" t="s">
        <v>1068</v>
      </c>
      <c r="B990" s="1">
        <v>45416</v>
      </c>
      <c r="C990" t="s">
        <v>49</v>
      </c>
      <c r="D990" t="s">
        <v>41</v>
      </c>
      <c r="E990" t="s">
        <v>28</v>
      </c>
      <c r="F990" t="s">
        <v>29</v>
      </c>
      <c r="G990" t="s">
        <v>30</v>
      </c>
      <c r="H990">
        <v>1800</v>
      </c>
      <c r="I990">
        <v>12</v>
      </c>
      <c r="J990">
        <v>15</v>
      </c>
      <c r="K990">
        <v>5</v>
      </c>
      <c r="L990">
        <v>18360</v>
      </c>
      <c r="M990">
        <v>19241.009999999998</v>
      </c>
      <c r="N990">
        <f t="shared" si="16"/>
        <v>-881.0099999999984</v>
      </c>
      <c r="O990" t="s">
        <v>23</v>
      </c>
      <c r="P990" t="s">
        <v>24</v>
      </c>
      <c r="Q990" t="s">
        <v>25</v>
      </c>
    </row>
    <row r="991" spans="1:17" x14ac:dyDescent="0.3">
      <c r="A991" t="s">
        <v>1069</v>
      </c>
      <c r="B991" s="1">
        <v>45374</v>
      </c>
      <c r="C991" t="s">
        <v>49</v>
      </c>
      <c r="D991" t="s">
        <v>19</v>
      </c>
      <c r="E991" t="s">
        <v>57</v>
      </c>
      <c r="F991" t="s">
        <v>46</v>
      </c>
      <c r="G991" t="s">
        <v>58</v>
      </c>
      <c r="H991">
        <v>18000</v>
      </c>
      <c r="I991">
        <v>11</v>
      </c>
      <c r="J991">
        <v>5</v>
      </c>
      <c r="K991">
        <v>25</v>
      </c>
      <c r="L991">
        <v>188100</v>
      </c>
      <c r="M991">
        <v>180504.52</v>
      </c>
      <c r="N991">
        <f t="shared" si="16"/>
        <v>7595.4800000000105</v>
      </c>
      <c r="O991" t="s">
        <v>38</v>
      </c>
      <c r="P991" t="s">
        <v>31</v>
      </c>
      <c r="Q991" t="s">
        <v>39</v>
      </c>
    </row>
    <row r="992" spans="1:17" x14ac:dyDescent="0.3">
      <c r="A992" t="s">
        <v>1070</v>
      </c>
      <c r="B992" s="1">
        <v>45437</v>
      </c>
      <c r="C992" t="s">
        <v>53</v>
      </c>
      <c r="D992" t="s">
        <v>41</v>
      </c>
      <c r="E992" t="s">
        <v>107</v>
      </c>
      <c r="F992" t="s">
        <v>108</v>
      </c>
      <c r="G992" t="s">
        <v>109</v>
      </c>
      <c r="H992">
        <v>18000</v>
      </c>
      <c r="I992">
        <v>12</v>
      </c>
      <c r="J992">
        <v>10</v>
      </c>
      <c r="K992">
        <v>25</v>
      </c>
      <c r="L992">
        <v>194400</v>
      </c>
      <c r="M992">
        <v>190828.5</v>
      </c>
      <c r="N992">
        <f t="shared" si="16"/>
        <v>3571.5</v>
      </c>
      <c r="O992" t="s">
        <v>38</v>
      </c>
      <c r="P992" t="s">
        <v>31</v>
      </c>
      <c r="Q992" t="s">
        <v>39</v>
      </c>
    </row>
    <row r="993" spans="1:17" x14ac:dyDescent="0.3">
      <c r="A993" t="s">
        <v>1071</v>
      </c>
      <c r="B993" s="1">
        <v>45459</v>
      </c>
      <c r="C993" t="s">
        <v>53</v>
      </c>
      <c r="D993" t="s">
        <v>41</v>
      </c>
      <c r="E993" t="s">
        <v>50</v>
      </c>
      <c r="F993" t="s">
        <v>21</v>
      </c>
      <c r="G993" t="s">
        <v>51</v>
      </c>
      <c r="H993">
        <v>4500</v>
      </c>
      <c r="I993">
        <v>14</v>
      </c>
      <c r="J993">
        <v>5</v>
      </c>
      <c r="K993">
        <v>10</v>
      </c>
      <c r="L993">
        <v>59850</v>
      </c>
      <c r="M993">
        <v>53385.37</v>
      </c>
      <c r="N993">
        <f t="shared" si="16"/>
        <v>6464.6299999999974</v>
      </c>
      <c r="O993" t="s">
        <v>38</v>
      </c>
      <c r="P993" t="s">
        <v>31</v>
      </c>
      <c r="Q993" t="s">
        <v>39</v>
      </c>
    </row>
    <row r="994" spans="1:17" x14ac:dyDescent="0.3">
      <c r="A994" t="s">
        <v>1072</v>
      </c>
      <c r="B994" s="1">
        <v>45408</v>
      </c>
      <c r="C994" t="s">
        <v>53</v>
      </c>
      <c r="D994" t="s">
        <v>35</v>
      </c>
      <c r="E994" t="s">
        <v>42</v>
      </c>
      <c r="F994" t="s">
        <v>29</v>
      </c>
      <c r="G994" t="s">
        <v>43</v>
      </c>
      <c r="H994">
        <v>500</v>
      </c>
      <c r="I994">
        <v>14</v>
      </c>
      <c r="J994">
        <v>15</v>
      </c>
      <c r="K994">
        <v>25</v>
      </c>
      <c r="L994">
        <v>5950</v>
      </c>
      <c r="M994">
        <v>6062.15</v>
      </c>
      <c r="N994">
        <f t="shared" si="16"/>
        <v>-112.14999999999964</v>
      </c>
      <c r="O994" t="s">
        <v>38</v>
      </c>
      <c r="P994" t="s">
        <v>24</v>
      </c>
      <c r="Q994" t="s">
        <v>39</v>
      </c>
    </row>
    <row r="995" spans="1:17" x14ac:dyDescent="0.3">
      <c r="A995" t="s">
        <v>1073</v>
      </c>
      <c r="B995" s="1">
        <v>45384</v>
      </c>
      <c r="C995" t="s">
        <v>49</v>
      </c>
      <c r="D995" t="s">
        <v>35</v>
      </c>
      <c r="E995" t="s">
        <v>107</v>
      </c>
      <c r="F995" t="s">
        <v>108</v>
      </c>
      <c r="G995" t="s">
        <v>109</v>
      </c>
      <c r="H995">
        <v>18000</v>
      </c>
      <c r="I995">
        <v>3</v>
      </c>
      <c r="J995">
        <v>5</v>
      </c>
      <c r="K995">
        <v>0</v>
      </c>
      <c r="L995">
        <v>51300</v>
      </c>
      <c r="M995">
        <v>50458.77</v>
      </c>
      <c r="N995">
        <f t="shared" si="16"/>
        <v>841.2300000000032</v>
      </c>
      <c r="O995" t="s">
        <v>23</v>
      </c>
      <c r="P995" t="s">
        <v>31</v>
      </c>
      <c r="Q995" t="s">
        <v>32</v>
      </c>
    </row>
    <row r="996" spans="1:17" x14ac:dyDescent="0.3">
      <c r="A996" t="s">
        <v>1074</v>
      </c>
      <c r="B996" s="1">
        <v>45453</v>
      </c>
      <c r="C996" t="s">
        <v>34</v>
      </c>
      <c r="D996" t="s">
        <v>92</v>
      </c>
      <c r="E996" t="s">
        <v>36</v>
      </c>
      <c r="F996" t="s">
        <v>29</v>
      </c>
      <c r="G996" t="s">
        <v>37</v>
      </c>
      <c r="H996">
        <v>1200</v>
      </c>
      <c r="I996">
        <v>15</v>
      </c>
      <c r="J996">
        <v>10</v>
      </c>
      <c r="K996">
        <v>5</v>
      </c>
      <c r="L996">
        <v>16200</v>
      </c>
      <c r="M996">
        <v>15721.79</v>
      </c>
      <c r="N996">
        <f t="shared" si="16"/>
        <v>478.20999999999913</v>
      </c>
      <c r="O996" t="s">
        <v>23</v>
      </c>
      <c r="P996" t="s">
        <v>31</v>
      </c>
      <c r="Q996" t="s">
        <v>32</v>
      </c>
    </row>
    <row r="997" spans="1:17" x14ac:dyDescent="0.3">
      <c r="A997" t="s">
        <v>1075</v>
      </c>
      <c r="B997" s="1">
        <v>45444</v>
      </c>
      <c r="C997" t="s">
        <v>34</v>
      </c>
      <c r="D997" t="s">
        <v>70</v>
      </c>
      <c r="E997" t="s">
        <v>61</v>
      </c>
      <c r="F997" t="s">
        <v>29</v>
      </c>
      <c r="G997" t="s">
        <v>43</v>
      </c>
      <c r="H997">
        <v>2800</v>
      </c>
      <c r="I997">
        <v>13</v>
      </c>
      <c r="J997">
        <v>10</v>
      </c>
      <c r="K997">
        <v>20</v>
      </c>
      <c r="L997">
        <v>32760</v>
      </c>
      <c r="M997">
        <v>30196.52</v>
      </c>
      <c r="N997">
        <f t="shared" si="16"/>
        <v>2563.4799999999996</v>
      </c>
      <c r="O997" t="s">
        <v>38</v>
      </c>
      <c r="P997" t="s">
        <v>31</v>
      </c>
      <c r="Q997" t="s">
        <v>39</v>
      </c>
    </row>
    <row r="998" spans="1:17" x14ac:dyDescent="0.3">
      <c r="A998" t="s">
        <v>1076</v>
      </c>
      <c r="B998" s="1">
        <v>45370</v>
      </c>
      <c r="C998" t="s">
        <v>53</v>
      </c>
      <c r="D998" t="s">
        <v>27</v>
      </c>
      <c r="E998" t="s">
        <v>167</v>
      </c>
      <c r="F998" t="s">
        <v>21</v>
      </c>
      <c r="G998" t="s">
        <v>82</v>
      </c>
      <c r="H998">
        <v>7000</v>
      </c>
      <c r="I998">
        <v>8</v>
      </c>
      <c r="J998">
        <v>10</v>
      </c>
      <c r="K998">
        <v>10</v>
      </c>
      <c r="L998">
        <v>50400</v>
      </c>
      <c r="M998">
        <v>43974.37</v>
      </c>
      <c r="N998">
        <f t="shared" si="16"/>
        <v>6425.6299999999974</v>
      </c>
      <c r="O998" t="s">
        <v>23</v>
      </c>
      <c r="P998" t="s">
        <v>31</v>
      </c>
      <c r="Q998" t="s">
        <v>32</v>
      </c>
    </row>
    <row r="999" spans="1:17" x14ac:dyDescent="0.3">
      <c r="A999" t="s">
        <v>1077</v>
      </c>
      <c r="B999" s="1">
        <v>45419</v>
      </c>
      <c r="C999" t="s">
        <v>18</v>
      </c>
      <c r="D999" t="s">
        <v>27</v>
      </c>
      <c r="E999" t="s">
        <v>129</v>
      </c>
      <c r="F999" t="s">
        <v>21</v>
      </c>
      <c r="G999" t="s">
        <v>82</v>
      </c>
      <c r="H999">
        <v>3500</v>
      </c>
      <c r="I999">
        <v>6</v>
      </c>
      <c r="J999">
        <v>10</v>
      </c>
      <c r="K999">
        <v>20</v>
      </c>
      <c r="L999">
        <v>18900</v>
      </c>
      <c r="M999">
        <v>17784.580000000002</v>
      </c>
      <c r="N999">
        <f t="shared" si="16"/>
        <v>1115.4199999999983</v>
      </c>
      <c r="O999" t="s">
        <v>38</v>
      </c>
      <c r="P999" t="s">
        <v>31</v>
      </c>
      <c r="Q999" t="s">
        <v>39</v>
      </c>
    </row>
    <row r="1000" spans="1:17" x14ac:dyDescent="0.3">
      <c r="A1000" t="s">
        <v>1078</v>
      </c>
      <c r="B1000" s="1">
        <v>45328</v>
      </c>
      <c r="C1000" t="s">
        <v>49</v>
      </c>
      <c r="D1000" t="s">
        <v>92</v>
      </c>
      <c r="E1000" t="s">
        <v>107</v>
      </c>
      <c r="F1000" t="s">
        <v>108</v>
      </c>
      <c r="G1000" t="s">
        <v>109</v>
      </c>
      <c r="H1000">
        <v>18000</v>
      </c>
      <c r="I1000">
        <v>1</v>
      </c>
      <c r="J1000">
        <v>5</v>
      </c>
      <c r="K1000">
        <v>15</v>
      </c>
      <c r="L1000">
        <v>17100</v>
      </c>
      <c r="M1000">
        <v>15468.91</v>
      </c>
      <c r="N1000">
        <f t="shared" si="16"/>
        <v>1631.0900000000001</v>
      </c>
      <c r="O1000" t="s">
        <v>38</v>
      </c>
      <c r="P1000" t="s">
        <v>31</v>
      </c>
      <c r="Q1000" t="s">
        <v>39</v>
      </c>
    </row>
    <row r="1001" spans="1:17" x14ac:dyDescent="0.3">
      <c r="A1001" t="s">
        <v>1079</v>
      </c>
      <c r="B1001" s="1">
        <v>45346</v>
      </c>
      <c r="C1001" t="s">
        <v>49</v>
      </c>
      <c r="D1001" t="s">
        <v>41</v>
      </c>
      <c r="E1001" t="s">
        <v>90</v>
      </c>
      <c r="F1001" t="s">
        <v>29</v>
      </c>
      <c r="G1001" t="s">
        <v>37</v>
      </c>
      <c r="H1001">
        <v>6500</v>
      </c>
      <c r="I1001">
        <v>2</v>
      </c>
      <c r="J1001">
        <v>15</v>
      </c>
      <c r="K1001">
        <v>5</v>
      </c>
      <c r="L1001">
        <v>11050</v>
      </c>
      <c r="M1001">
        <v>11414.3</v>
      </c>
      <c r="N1001">
        <f t="shared" si="16"/>
        <v>-364.29999999999927</v>
      </c>
      <c r="O1001" t="s">
        <v>23</v>
      </c>
      <c r="P1001" t="s">
        <v>24</v>
      </c>
      <c r="Q1001" t="s">
        <v>25</v>
      </c>
    </row>
    <row r="1002" spans="1:17" x14ac:dyDescent="0.3">
      <c r="A1002" t="s">
        <v>1080</v>
      </c>
      <c r="B1002" s="1">
        <v>45357</v>
      </c>
      <c r="C1002" t="s">
        <v>18</v>
      </c>
      <c r="D1002" t="s">
        <v>92</v>
      </c>
      <c r="E1002" t="s">
        <v>45</v>
      </c>
      <c r="F1002" t="s">
        <v>46</v>
      </c>
      <c r="G1002" t="s">
        <v>47</v>
      </c>
      <c r="H1002">
        <v>15000</v>
      </c>
      <c r="I1002">
        <v>2</v>
      </c>
      <c r="J1002">
        <v>15</v>
      </c>
      <c r="K1002">
        <v>15</v>
      </c>
      <c r="L1002">
        <v>25500</v>
      </c>
      <c r="M1002">
        <v>21944.35</v>
      </c>
      <c r="N1002">
        <f t="shared" si="16"/>
        <v>3555.6500000000015</v>
      </c>
      <c r="O1002" t="s">
        <v>23</v>
      </c>
      <c r="P1002" t="s">
        <v>31</v>
      </c>
      <c r="Q1002" t="s">
        <v>32</v>
      </c>
    </row>
    <row r="1003" spans="1:17" x14ac:dyDescent="0.3">
      <c r="A1003" t="s">
        <v>1081</v>
      </c>
      <c r="B1003" s="1">
        <v>45391</v>
      </c>
      <c r="C1003" t="s">
        <v>53</v>
      </c>
      <c r="D1003" t="s">
        <v>35</v>
      </c>
      <c r="E1003" t="s">
        <v>50</v>
      </c>
      <c r="F1003" t="s">
        <v>21</v>
      </c>
      <c r="G1003" t="s">
        <v>51</v>
      </c>
      <c r="H1003">
        <v>4500</v>
      </c>
      <c r="I1003">
        <v>2</v>
      </c>
      <c r="J1003">
        <v>15</v>
      </c>
      <c r="K1003">
        <v>0</v>
      </c>
      <c r="L1003">
        <v>7650</v>
      </c>
      <c r="M1003">
        <v>7664.6</v>
      </c>
      <c r="N1003">
        <f t="shared" si="16"/>
        <v>-14.600000000000364</v>
      </c>
      <c r="O1003" t="s">
        <v>23</v>
      </c>
      <c r="P1003" t="s">
        <v>24</v>
      </c>
      <c r="Q1003" t="s">
        <v>25</v>
      </c>
    </row>
    <row r="1004" spans="1:17" x14ac:dyDescent="0.3">
      <c r="A1004" t="s">
        <v>1082</v>
      </c>
      <c r="B1004" s="1">
        <v>45424</v>
      </c>
      <c r="C1004" t="s">
        <v>53</v>
      </c>
      <c r="D1004" t="s">
        <v>92</v>
      </c>
      <c r="E1004" t="s">
        <v>54</v>
      </c>
      <c r="F1004" t="s">
        <v>46</v>
      </c>
      <c r="G1004" t="s">
        <v>55</v>
      </c>
      <c r="H1004">
        <v>4500</v>
      </c>
      <c r="I1004">
        <v>10</v>
      </c>
      <c r="J1004">
        <v>5</v>
      </c>
      <c r="K1004">
        <v>5</v>
      </c>
      <c r="L1004">
        <v>42750</v>
      </c>
      <c r="M1004">
        <v>41997.99</v>
      </c>
      <c r="N1004">
        <f t="shared" si="16"/>
        <v>752.01000000000204</v>
      </c>
      <c r="O1004" t="s">
        <v>23</v>
      </c>
      <c r="P1004" t="s">
        <v>31</v>
      </c>
      <c r="Q1004" t="s">
        <v>32</v>
      </c>
    </row>
    <row r="1005" spans="1:17" x14ac:dyDescent="0.3">
      <c r="A1005" t="s">
        <v>1083</v>
      </c>
      <c r="B1005" s="1">
        <v>45345</v>
      </c>
      <c r="C1005" t="s">
        <v>18</v>
      </c>
      <c r="D1005" t="s">
        <v>41</v>
      </c>
      <c r="E1005" t="s">
        <v>67</v>
      </c>
      <c r="F1005" t="s">
        <v>29</v>
      </c>
      <c r="G1005" t="s">
        <v>68</v>
      </c>
      <c r="H1005">
        <v>1200</v>
      </c>
      <c r="I1005">
        <v>8</v>
      </c>
      <c r="J1005">
        <v>5</v>
      </c>
      <c r="K1005">
        <v>0</v>
      </c>
      <c r="L1005">
        <v>9120</v>
      </c>
      <c r="M1005">
        <v>8971.5300000000007</v>
      </c>
      <c r="N1005">
        <f t="shared" si="16"/>
        <v>148.46999999999935</v>
      </c>
      <c r="O1005" t="s">
        <v>23</v>
      </c>
      <c r="P1005" t="s">
        <v>31</v>
      </c>
      <c r="Q1005" t="s">
        <v>32</v>
      </c>
    </row>
    <row r="1006" spans="1:17" x14ac:dyDescent="0.3">
      <c r="A1006" t="s">
        <v>1084</v>
      </c>
      <c r="B1006" s="1">
        <v>45392</v>
      </c>
      <c r="C1006" t="s">
        <v>53</v>
      </c>
      <c r="D1006" t="s">
        <v>70</v>
      </c>
      <c r="E1006" t="s">
        <v>140</v>
      </c>
      <c r="F1006" t="s">
        <v>141</v>
      </c>
      <c r="G1006" t="s">
        <v>142</v>
      </c>
      <c r="H1006">
        <v>12000</v>
      </c>
      <c r="I1006">
        <v>10</v>
      </c>
      <c r="J1006">
        <v>10</v>
      </c>
      <c r="K1006">
        <v>25</v>
      </c>
      <c r="L1006">
        <v>108000</v>
      </c>
      <c r="M1006">
        <v>110349.18</v>
      </c>
      <c r="N1006">
        <f t="shared" si="16"/>
        <v>-2349.179999999993</v>
      </c>
      <c r="O1006" t="s">
        <v>38</v>
      </c>
      <c r="P1006" t="s">
        <v>24</v>
      </c>
      <c r="Q1006" t="s">
        <v>39</v>
      </c>
    </row>
    <row r="1007" spans="1:17" x14ac:dyDescent="0.3">
      <c r="A1007" t="s">
        <v>1085</v>
      </c>
      <c r="B1007" s="1">
        <v>45463</v>
      </c>
      <c r="C1007" t="s">
        <v>18</v>
      </c>
      <c r="D1007" t="s">
        <v>19</v>
      </c>
      <c r="E1007" t="s">
        <v>155</v>
      </c>
      <c r="F1007" t="s">
        <v>21</v>
      </c>
      <c r="G1007" t="s">
        <v>72</v>
      </c>
      <c r="H1007">
        <v>35000</v>
      </c>
      <c r="I1007">
        <v>6</v>
      </c>
      <c r="J1007">
        <v>15</v>
      </c>
      <c r="K1007">
        <v>5</v>
      </c>
      <c r="L1007">
        <v>178500</v>
      </c>
      <c r="M1007">
        <v>180461.18</v>
      </c>
      <c r="N1007">
        <f t="shared" si="16"/>
        <v>-1961.179999999993</v>
      </c>
      <c r="O1007" t="s">
        <v>23</v>
      </c>
      <c r="P1007" t="s">
        <v>24</v>
      </c>
      <c r="Q1007" t="s">
        <v>25</v>
      </c>
    </row>
    <row r="1008" spans="1:17" x14ac:dyDescent="0.3">
      <c r="A1008" t="s">
        <v>1086</v>
      </c>
      <c r="B1008" s="1">
        <v>45431</v>
      </c>
      <c r="C1008" t="s">
        <v>34</v>
      </c>
      <c r="D1008" t="s">
        <v>19</v>
      </c>
      <c r="E1008" t="s">
        <v>104</v>
      </c>
      <c r="F1008" t="s">
        <v>29</v>
      </c>
      <c r="G1008" t="s">
        <v>30</v>
      </c>
      <c r="H1008">
        <v>1200</v>
      </c>
      <c r="I1008">
        <v>3</v>
      </c>
      <c r="J1008">
        <v>10</v>
      </c>
      <c r="K1008">
        <v>15</v>
      </c>
      <c r="L1008">
        <v>3240</v>
      </c>
      <c r="M1008">
        <v>3336.7</v>
      </c>
      <c r="N1008">
        <f t="shared" si="16"/>
        <v>-96.699999999999818</v>
      </c>
      <c r="O1008" t="s">
        <v>38</v>
      </c>
      <c r="P1008" t="s">
        <v>24</v>
      </c>
      <c r="Q1008" t="s">
        <v>39</v>
      </c>
    </row>
    <row r="1009" spans="1:17" x14ac:dyDescent="0.3">
      <c r="A1009" t="s">
        <v>1087</v>
      </c>
      <c r="B1009" s="1">
        <v>45304</v>
      </c>
      <c r="C1009" t="s">
        <v>34</v>
      </c>
      <c r="D1009" t="s">
        <v>27</v>
      </c>
      <c r="E1009" t="s">
        <v>75</v>
      </c>
      <c r="F1009" t="s">
        <v>76</v>
      </c>
      <c r="G1009" t="s">
        <v>77</v>
      </c>
      <c r="H1009">
        <v>8000</v>
      </c>
      <c r="I1009">
        <v>8</v>
      </c>
      <c r="J1009">
        <v>15</v>
      </c>
      <c r="K1009">
        <v>15</v>
      </c>
      <c r="L1009">
        <v>54400</v>
      </c>
      <c r="M1009">
        <v>52892.81</v>
      </c>
      <c r="N1009">
        <f t="shared" si="16"/>
        <v>1507.1900000000023</v>
      </c>
      <c r="O1009" t="s">
        <v>23</v>
      </c>
      <c r="P1009" t="s">
        <v>31</v>
      </c>
      <c r="Q1009" t="s">
        <v>32</v>
      </c>
    </row>
    <row r="1010" spans="1:17" x14ac:dyDescent="0.3">
      <c r="A1010" t="s">
        <v>1088</v>
      </c>
      <c r="B1010" s="1">
        <v>45298</v>
      </c>
      <c r="C1010" t="s">
        <v>34</v>
      </c>
      <c r="D1010" t="s">
        <v>70</v>
      </c>
      <c r="E1010" t="s">
        <v>50</v>
      </c>
      <c r="F1010" t="s">
        <v>21</v>
      </c>
      <c r="G1010" t="s">
        <v>51</v>
      </c>
      <c r="H1010">
        <v>4500</v>
      </c>
      <c r="I1010">
        <v>7</v>
      </c>
      <c r="J1010">
        <v>5</v>
      </c>
      <c r="K1010">
        <v>15</v>
      </c>
      <c r="L1010">
        <v>29925</v>
      </c>
      <c r="M1010">
        <v>27214.21</v>
      </c>
      <c r="N1010">
        <f t="shared" si="16"/>
        <v>2710.7900000000009</v>
      </c>
      <c r="O1010" t="s">
        <v>38</v>
      </c>
      <c r="P1010" t="s">
        <v>31</v>
      </c>
      <c r="Q1010" t="s">
        <v>39</v>
      </c>
    </row>
    <row r="1011" spans="1:17" x14ac:dyDescent="0.3">
      <c r="A1011" t="s">
        <v>1089</v>
      </c>
      <c r="B1011" s="1">
        <v>45396</v>
      </c>
      <c r="C1011" t="s">
        <v>18</v>
      </c>
      <c r="D1011" t="s">
        <v>35</v>
      </c>
      <c r="E1011" t="s">
        <v>140</v>
      </c>
      <c r="F1011" t="s">
        <v>141</v>
      </c>
      <c r="G1011" t="s">
        <v>142</v>
      </c>
      <c r="H1011">
        <v>12000</v>
      </c>
      <c r="I1011">
        <v>15</v>
      </c>
      <c r="J1011">
        <v>10</v>
      </c>
      <c r="K1011">
        <v>15</v>
      </c>
      <c r="L1011">
        <v>162000</v>
      </c>
      <c r="M1011">
        <v>162099.23000000001</v>
      </c>
      <c r="N1011">
        <f t="shared" si="16"/>
        <v>-99.230000000010477</v>
      </c>
      <c r="O1011" t="s">
        <v>38</v>
      </c>
      <c r="P1011" t="s">
        <v>24</v>
      </c>
      <c r="Q1011" t="s">
        <v>39</v>
      </c>
    </row>
    <row r="1012" spans="1:17" x14ac:dyDescent="0.3">
      <c r="A1012" t="s">
        <v>1090</v>
      </c>
      <c r="B1012" s="1">
        <v>45451</v>
      </c>
      <c r="C1012" t="s">
        <v>53</v>
      </c>
      <c r="D1012" t="s">
        <v>27</v>
      </c>
      <c r="E1012" t="s">
        <v>104</v>
      </c>
      <c r="F1012" t="s">
        <v>29</v>
      </c>
      <c r="G1012" t="s">
        <v>30</v>
      </c>
      <c r="H1012">
        <v>1200</v>
      </c>
      <c r="I1012">
        <v>8</v>
      </c>
      <c r="J1012">
        <v>10</v>
      </c>
      <c r="K1012">
        <v>0</v>
      </c>
      <c r="L1012">
        <v>8640</v>
      </c>
      <c r="M1012">
        <v>8900.39</v>
      </c>
      <c r="N1012">
        <f t="shared" si="16"/>
        <v>-260.38999999999942</v>
      </c>
      <c r="O1012" t="s">
        <v>23</v>
      </c>
      <c r="P1012" t="s">
        <v>24</v>
      </c>
      <c r="Q1012" t="s">
        <v>25</v>
      </c>
    </row>
    <row r="1013" spans="1:17" x14ac:dyDescent="0.3">
      <c r="A1013" t="s">
        <v>1091</v>
      </c>
      <c r="B1013" s="1">
        <v>45446</v>
      </c>
      <c r="C1013" t="s">
        <v>49</v>
      </c>
      <c r="D1013" t="s">
        <v>92</v>
      </c>
      <c r="E1013" t="s">
        <v>61</v>
      </c>
      <c r="F1013" t="s">
        <v>29</v>
      </c>
      <c r="G1013" t="s">
        <v>43</v>
      </c>
      <c r="H1013">
        <v>2800</v>
      </c>
      <c r="I1013">
        <v>13</v>
      </c>
      <c r="J1013">
        <v>5</v>
      </c>
      <c r="K1013">
        <v>25</v>
      </c>
      <c r="L1013">
        <v>34580</v>
      </c>
      <c r="M1013">
        <v>30257.64</v>
      </c>
      <c r="N1013">
        <f t="shared" si="16"/>
        <v>4322.3600000000006</v>
      </c>
      <c r="O1013" t="s">
        <v>38</v>
      </c>
      <c r="P1013" t="s">
        <v>31</v>
      </c>
      <c r="Q1013" t="s">
        <v>39</v>
      </c>
    </row>
    <row r="1014" spans="1:17" x14ac:dyDescent="0.3">
      <c r="A1014" t="s">
        <v>1092</v>
      </c>
      <c r="B1014" s="1">
        <v>45405</v>
      </c>
      <c r="C1014" t="s">
        <v>53</v>
      </c>
      <c r="D1014" t="s">
        <v>92</v>
      </c>
      <c r="E1014" t="s">
        <v>71</v>
      </c>
      <c r="F1014" t="s">
        <v>21</v>
      </c>
      <c r="G1014" t="s">
        <v>72</v>
      </c>
      <c r="H1014">
        <v>60000</v>
      </c>
      <c r="I1014">
        <v>14</v>
      </c>
      <c r="J1014">
        <v>5</v>
      </c>
      <c r="K1014">
        <v>20</v>
      </c>
      <c r="L1014">
        <v>798000</v>
      </c>
      <c r="M1014">
        <v>687574.35</v>
      </c>
      <c r="N1014">
        <f t="shared" si="16"/>
        <v>110425.65000000002</v>
      </c>
      <c r="O1014" t="s">
        <v>38</v>
      </c>
      <c r="P1014" t="s">
        <v>31</v>
      </c>
      <c r="Q1014" t="s">
        <v>39</v>
      </c>
    </row>
    <row r="1015" spans="1:17" x14ac:dyDescent="0.3">
      <c r="A1015" t="s">
        <v>1093</v>
      </c>
      <c r="B1015" s="1">
        <v>45324</v>
      </c>
      <c r="C1015" t="s">
        <v>49</v>
      </c>
      <c r="D1015" t="s">
        <v>41</v>
      </c>
      <c r="E1015" t="s">
        <v>102</v>
      </c>
      <c r="F1015" t="s">
        <v>29</v>
      </c>
      <c r="G1015" t="s">
        <v>43</v>
      </c>
      <c r="H1015">
        <v>1500</v>
      </c>
      <c r="I1015">
        <v>4</v>
      </c>
      <c r="J1015">
        <v>15</v>
      </c>
      <c r="K1015">
        <v>0</v>
      </c>
      <c r="L1015">
        <v>5100</v>
      </c>
      <c r="M1015">
        <v>5301.96</v>
      </c>
      <c r="N1015">
        <f t="shared" si="16"/>
        <v>-201.96000000000004</v>
      </c>
      <c r="O1015" t="s">
        <v>23</v>
      </c>
      <c r="P1015" t="s">
        <v>24</v>
      </c>
      <c r="Q1015" t="s">
        <v>25</v>
      </c>
    </row>
    <row r="1016" spans="1:17" x14ac:dyDescent="0.3">
      <c r="A1016" t="s">
        <v>1094</v>
      </c>
      <c r="B1016" s="1">
        <v>45347</v>
      </c>
      <c r="C1016" t="s">
        <v>18</v>
      </c>
      <c r="D1016" t="s">
        <v>92</v>
      </c>
      <c r="E1016" t="s">
        <v>151</v>
      </c>
      <c r="F1016" t="s">
        <v>141</v>
      </c>
      <c r="G1016" t="s">
        <v>142</v>
      </c>
      <c r="H1016">
        <v>3500</v>
      </c>
      <c r="I1016">
        <v>10</v>
      </c>
      <c r="J1016">
        <v>10</v>
      </c>
      <c r="K1016">
        <v>20</v>
      </c>
      <c r="L1016">
        <v>31500</v>
      </c>
      <c r="M1016">
        <v>29722.15</v>
      </c>
      <c r="N1016">
        <f t="shared" si="16"/>
        <v>1777.8499999999985</v>
      </c>
      <c r="O1016" t="s">
        <v>38</v>
      </c>
      <c r="P1016" t="s">
        <v>31</v>
      </c>
      <c r="Q1016" t="s">
        <v>39</v>
      </c>
    </row>
    <row r="1017" spans="1:17" x14ac:dyDescent="0.3">
      <c r="A1017" t="s">
        <v>1095</v>
      </c>
      <c r="B1017" s="1">
        <v>45454</v>
      </c>
      <c r="C1017" t="s">
        <v>34</v>
      </c>
      <c r="D1017" t="s">
        <v>35</v>
      </c>
      <c r="E1017" t="s">
        <v>61</v>
      </c>
      <c r="F1017" t="s">
        <v>29</v>
      </c>
      <c r="G1017" t="s">
        <v>43</v>
      </c>
      <c r="H1017">
        <v>2800</v>
      </c>
      <c r="I1017">
        <v>12</v>
      </c>
      <c r="J1017">
        <v>5</v>
      </c>
      <c r="K1017">
        <v>25</v>
      </c>
      <c r="L1017">
        <v>31920</v>
      </c>
      <c r="M1017">
        <v>29106.3</v>
      </c>
      <c r="N1017">
        <f t="shared" si="16"/>
        <v>2813.7000000000007</v>
      </c>
      <c r="O1017" t="s">
        <v>38</v>
      </c>
      <c r="P1017" t="s">
        <v>31</v>
      </c>
      <c r="Q1017" t="s">
        <v>39</v>
      </c>
    </row>
    <row r="1018" spans="1:17" x14ac:dyDescent="0.3">
      <c r="A1018" t="s">
        <v>1096</v>
      </c>
      <c r="B1018" s="1">
        <v>45369</v>
      </c>
      <c r="C1018" t="s">
        <v>49</v>
      </c>
      <c r="D1018" t="s">
        <v>35</v>
      </c>
      <c r="E1018" t="s">
        <v>45</v>
      </c>
      <c r="F1018" t="s">
        <v>46</v>
      </c>
      <c r="G1018" t="s">
        <v>47</v>
      </c>
      <c r="H1018">
        <v>15000</v>
      </c>
      <c r="I1018">
        <v>10</v>
      </c>
      <c r="J1018">
        <v>15</v>
      </c>
      <c r="K1018">
        <v>5</v>
      </c>
      <c r="L1018">
        <v>127500</v>
      </c>
      <c r="M1018">
        <v>118500.44</v>
      </c>
      <c r="N1018">
        <f t="shared" si="16"/>
        <v>8999.5599999999977</v>
      </c>
      <c r="O1018" t="s">
        <v>23</v>
      </c>
      <c r="P1018" t="s">
        <v>31</v>
      </c>
      <c r="Q1018" t="s">
        <v>32</v>
      </c>
    </row>
    <row r="1019" spans="1:17" x14ac:dyDescent="0.3">
      <c r="A1019" t="s">
        <v>1097</v>
      </c>
      <c r="B1019" s="1">
        <v>45349</v>
      </c>
      <c r="C1019" t="s">
        <v>34</v>
      </c>
      <c r="D1019" t="s">
        <v>27</v>
      </c>
      <c r="E1019" t="s">
        <v>42</v>
      </c>
      <c r="F1019" t="s">
        <v>29</v>
      </c>
      <c r="G1019" t="s">
        <v>43</v>
      </c>
      <c r="H1019">
        <v>500</v>
      </c>
      <c r="I1019">
        <v>11</v>
      </c>
      <c r="J1019">
        <v>5</v>
      </c>
      <c r="K1019">
        <v>15</v>
      </c>
      <c r="L1019">
        <v>5225</v>
      </c>
      <c r="M1019">
        <v>4946.3</v>
      </c>
      <c r="N1019">
        <f t="shared" si="16"/>
        <v>278.69999999999982</v>
      </c>
      <c r="O1019" t="s">
        <v>38</v>
      </c>
      <c r="P1019" t="s">
        <v>31</v>
      </c>
      <c r="Q1019" t="s">
        <v>39</v>
      </c>
    </row>
    <row r="1020" spans="1:17" x14ac:dyDescent="0.3">
      <c r="A1020" t="s">
        <v>1098</v>
      </c>
      <c r="B1020" s="1">
        <v>45416</v>
      </c>
      <c r="C1020" t="s">
        <v>18</v>
      </c>
      <c r="D1020" t="s">
        <v>41</v>
      </c>
      <c r="E1020" t="s">
        <v>42</v>
      </c>
      <c r="F1020" t="s">
        <v>29</v>
      </c>
      <c r="G1020" t="s">
        <v>43</v>
      </c>
      <c r="H1020">
        <v>500</v>
      </c>
      <c r="I1020">
        <v>11</v>
      </c>
      <c r="J1020">
        <v>15</v>
      </c>
      <c r="K1020">
        <v>10</v>
      </c>
      <c r="L1020">
        <v>4675</v>
      </c>
      <c r="M1020">
        <v>4244.55</v>
      </c>
      <c r="N1020">
        <f t="shared" si="16"/>
        <v>430.44999999999982</v>
      </c>
      <c r="O1020" t="s">
        <v>23</v>
      </c>
      <c r="P1020" t="s">
        <v>31</v>
      </c>
      <c r="Q1020" t="s">
        <v>32</v>
      </c>
    </row>
    <row r="1021" spans="1:17" x14ac:dyDescent="0.3">
      <c r="A1021" t="s">
        <v>1099</v>
      </c>
      <c r="B1021" s="1">
        <v>45456</v>
      </c>
      <c r="C1021" t="s">
        <v>53</v>
      </c>
      <c r="D1021" t="s">
        <v>92</v>
      </c>
      <c r="E1021" t="s">
        <v>71</v>
      </c>
      <c r="F1021" t="s">
        <v>21</v>
      </c>
      <c r="G1021" t="s">
        <v>72</v>
      </c>
      <c r="H1021">
        <v>60000</v>
      </c>
      <c r="I1021">
        <v>14</v>
      </c>
      <c r="J1021">
        <v>5</v>
      </c>
      <c r="K1021">
        <v>0</v>
      </c>
      <c r="L1021">
        <v>798000</v>
      </c>
      <c r="M1021">
        <v>685211.26</v>
      </c>
      <c r="N1021">
        <f t="shared" si="16"/>
        <v>112788.73999999999</v>
      </c>
      <c r="O1021" t="s">
        <v>23</v>
      </c>
      <c r="P1021" t="s">
        <v>31</v>
      </c>
      <c r="Q1021" t="s">
        <v>32</v>
      </c>
    </row>
    <row r="1022" spans="1:17" x14ac:dyDescent="0.3">
      <c r="A1022" t="s">
        <v>1100</v>
      </c>
      <c r="B1022" s="1">
        <v>45292</v>
      </c>
      <c r="C1022" t="s">
        <v>53</v>
      </c>
      <c r="D1022" t="s">
        <v>41</v>
      </c>
      <c r="E1022" t="s">
        <v>107</v>
      </c>
      <c r="F1022" t="s">
        <v>108</v>
      </c>
      <c r="G1022" t="s">
        <v>109</v>
      </c>
      <c r="H1022">
        <v>18000</v>
      </c>
      <c r="I1022">
        <v>7</v>
      </c>
      <c r="J1022">
        <v>10</v>
      </c>
      <c r="K1022">
        <v>20</v>
      </c>
      <c r="L1022">
        <v>113400</v>
      </c>
      <c r="M1022">
        <v>115335.19</v>
      </c>
      <c r="N1022">
        <f t="shared" si="16"/>
        <v>-1935.1900000000023</v>
      </c>
      <c r="O1022" t="s">
        <v>38</v>
      </c>
      <c r="P1022" t="s">
        <v>24</v>
      </c>
      <c r="Q1022" t="s">
        <v>39</v>
      </c>
    </row>
    <row r="1023" spans="1:17" x14ac:dyDescent="0.3">
      <c r="A1023" t="s">
        <v>1101</v>
      </c>
      <c r="B1023" s="1">
        <v>45395</v>
      </c>
      <c r="C1023" t="s">
        <v>53</v>
      </c>
      <c r="D1023" t="s">
        <v>70</v>
      </c>
      <c r="E1023" t="s">
        <v>50</v>
      </c>
      <c r="F1023" t="s">
        <v>21</v>
      </c>
      <c r="G1023" t="s">
        <v>51</v>
      </c>
      <c r="H1023">
        <v>4500</v>
      </c>
      <c r="I1023">
        <v>10</v>
      </c>
      <c r="J1023">
        <v>15</v>
      </c>
      <c r="K1023">
        <v>0</v>
      </c>
      <c r="L1023">
        <v>38250</v>
      </c>
      <c r="M1023">
        <v>32734.76</v>
      </c>
      <c r="N1023">
        <f t="shared" si="16"/>
        <v>5515.2400000000016</v>
      </c>
      <c r="O1023" t="s">
        <v>23</v>
      </c>
      <c r="P1023" t="s">
        <v>31</v>
      </c>
      <c r="Q1023" t="s">
        <v>32</v>
      </c>
    </row>
    <row r="1024" spans="1:17" x14ac:dyDescent="0.3">
      <c r="A1024" t="s">
        <v>1102</v>
      </c>
      <c r="B1024" s="1">
        <v>45293</v>
      </c>
      <c r="C1024" t="s">
        <v>34</v>
      </c>
      <c r="D1024" t="s">
        <v>41</v>
      </c>
      <c r="E1024" t="s">
        <v>140</v>
      </c>
      <c r="F1024" t="s">
        <v>141</v>
      </c>
      <c r="G1024" t="s">
        <v>142</v>
      </c>
      <c r="H1024">
        <v>12000</v>
      </c>
      <c r="I1024">
        <v>12</v>
      </c>
      <c r="J1024">
        <v>15</v>
      </c>
      <c r="K1024">
        <v>20</v>
      </c>
      <c r="L1024">
        <v>122400</v>
      </c>
      <c r="M1024">
        <v>124630.47</v>
      </c>
      <c r="N1024">
        <f t="shared" si="16"/>
        <v>-2230.4700000000012</v>
      </c>
      <c r="O1024" t="s">
        <v>38</v>
      </c>
      <c r="P1024" t="s">
        <v>24</v>
      </c>
      <c r="Q1024" t="s">
        <v>39</v>
      </c>
    </row>
    <row r="1025" spans="1:17" x14ac:dyDescent="0.3">
      <c r="A1025" t="s">
        <v>1103</v>
      </c>
      <c r="B1025" s="1">
        <v>45437</v>
      </c>
      <c r="C1025" t="s">
        <v>49</v>
      </c>
      <c r="D1025" t="s">
        <v>27</v>
      </c>
      <c r="E1025" t="s">
        <v>140</v>
      </c>
      <c r="F1025" t="s">
        <v>141</v>
      </c>
      <c r="G1025" t="s">
        <v>142</v>
      </c>
      <c r="H1025">
        <v>12000</v>
      </c>
      <c r="I1025">
        <v>5</v>
      </c>
      <c r="J1025">
        <v>10</v>
      </c>
      <c r="K1025">
        <v>0</v>
      </c>
      <c r="L1025">
        <v>54000</v>
      </c>
      <c r="M1025">
        <v>46962.43</v>
      </c>
      <c r="N1025">
        <f t="shared" si="16"/>
        <v>7037.57</v>
      </c>
      <c r="O1025" t="s">
        <v>23</v>
      </c>
      <c r="P1025" t="s">
        <v>31</v>
      </c>
      <c r="Q1025" t="s">
        <v>32</v>
      </c>
    </row>
    <row r="1026" spans="1:17" x14ac:dyDescent="0.3">
      <c r="A1026" t="s">
        <v>1104</v>
      </c>
      <c r="B1026" s="1">
        <v>45304</v>
      </c>
      <c r="C1026" t="s">
        <v>18</v>
      </c>
      <c r="D1026" t="s">
        <v>35</v>
      </c>
      <c r="E1026" t="s">
        <v>167</v>
      </c>
      <c r="F1026" t="s">
        <v>21</v>
      </c>
      <c r="G1026" t="s">
        <v>82</v>
      </c>
      <c r="H1026">
        <v>7000</v>
      </c>
      <c r="I1026">
        <v>2</v>
      </c>
      <c r="J1026">
        <v>15</v>
      </c>
      <c r="K1026">
        <v>15</v>
      </c>
      <c r="L1026">
        <v>11900</v>
      </c>
      <c r="M1026">
        <v>11144.18</v>
      </c>
      <c r="N1026">
        <f t="shared" si="16"/>
        <v>755.81999999999971</v>
      </c>
      <c r="O1026" t="s">
        <v>23</v>
      </c>
      <c r="P1026" t="s">
        <v>31</v>
      </c>
      <c r="Q1026" t="s">
        <v>32</v>
      </c>
    </row>
    <row r="1027" spans="1:17" x14ac:dyDescent="0.3">
      <c r="A1027" t="s">
        <v>1105</v>
      </c>
      <c r="B1027" s="1">
        <v>45302</v>
      </c>
      <c r="C1027" t="s">
        <v>53</v>
      </c>
      <c r="D1027" t="s">
        <v>27</v>
      </c>
      <c r="E1027" t="s">
        <v>45</v>
      </c>
      <c r="F1027" t="s">
        <v>46</v>
      </c>
      <c r="G1027" t="s">
        <v>47</v>
      </c>
      <c r="H1027">
        <v>15000</v>
      </c>
      <c r="I1027">
        <v>1</v>
      </c>
      <c r="J1027">
        <v>5</v>
      </c>
      <c r="K1027">
        <v>15</v>
      </c>
      <c r="L1027">
        <v>14250</v>
      </c>
      <c r="M1027">
        <v>14451.49</v>
      </c>
      <c r="N1027">
        <f t="shared" ref="N1027:N1090" si="17">L1027-M1027</f>
        <v>-201.48999999999978</v>
      </c>
      <c r="O1027" t="s">
        <v>38</v>
      </c>
      <c r="P1027" t="s">
        <v>24</v>
      </c>
      <c r="Q1027" t="s">
        <v>39</v>
      </c>
    </row>
    <row r="1028" spans="1:17" x14ac:dyDescent="0.3">
      <c r="A1028" t="s">
        <v>1106</v>
      </c>
      <c r="B1028" s="1">
        <v>45317</v>
      </c>
      <c r="C1028" t="s">
        <v>53</v>
      </c>
      <c r="D1028" t="s">
        <v>70</v>
      </c>
      <c r="E1028" t="s">
        <v>107</v>
      </c>
      <c r="F1028" t="s">
        <v>108</v>
      </c>
      <c r="G1028" t="s">
        <v>109</v>
      </c>
      <c r="H1028">
        <v>18000</v>
      </c>
      <c r="I1028">
        <v>7</v>
      </c>
      <c r="J1028">
        <v>15</v>
      </c>
      <c r="K1028">
        <v>5</v>
      </c>
      <c r="L1028">
        <v>107100</v>
      </c>
      <c r="M1028">
        <v>97037.1</v>
      </c>
      <c r="N1028">
        <f t="shared" si="17"/>
        <v>10062.899999999994</v>
      </c>
      <c r="O1028" t="s">
        <v>23</v>
      </c>
      <c r="P1028" t="s">
        <v>31</v>
      </c>
      <c r="Q1028" t="s">
        <v>32</v>
      </c>
    </row>
    <row r="1029" spans="1:17" x14ac:dyDescent="0.3">
      <c r="A1029" t="s">
        <v>1107</v>
      </c>
      <c r="B1029" s="1">
        <v>45377</v>
      </c>
      <c r="C1029" t="s">
        <v>18</v>
      </c>
      <c r="D1029" t="s">
        <v>27</v>
      </c>
      <c r="E1029" t="s">
        <v>129</v>
      </c>
      <c r="F1029" t="s">
        <v>21</v>
      </c>
      <c r="G1029" t="s">
        <v>82</v>
      </c>
      <c r="H1029">
        <v>3500</v>
      </c>
      <c r="I1029">
        <v>8</v>
      </c>
      <c r="J1029">
        <v>5</v>
      </c>
      <c r="K1029">
        <v>0</v>
      </c>
      <c r="L1029">
        <v>26600</v>
      </c>
      <c r="M1029">
        <v>26425.42</v>
      </c>
      <c r="N1029">
        <f t="shared" si="17"/>
        <v>174.58000000000175</v>
      </c>
      <c r="O1029" t="s">
        <v>23</v>
      </c>
      <c r="P1029" t="s">
        <v>31</v>
      </c>
      <c r="Q1029" t="s">
        <v>32</v>
      </c>
    </row>
    <row r="1030" spans="1:17" x14ac:dyDescent="0.3">
      <c r="A1030" t="s">
        <v>1108</v>
      </c>
      <c r="B1030" s="1">
        <v>45433</v>
      </c>
      <c r="C1030" t="s">
        <v>34</v>
      </c>
      <c r="D1030" t="s">
        <v>41</v>
      </c>
      <c r="E1030" t="s">
        <v>45</v>
      </c>
      <c r="F1030" t="s">
        <v>46</v>
      </c>
      <c r="G1030" t="s">
        <v>47</v>
      </c>
      <c r="H1030">
        <v>15000</v>
      </c>
      <c r="I1030">
        <v>5</v>
      </c>
      <c r="J1030">
        <v>5</v>
      </c>
      <c r="K1030">
        <v>10</v>
      </c>
      <c r="L1030">
        <v>71250</v>
      </c>
      <c r="M1030">
        <v>64394.25</v>
      </c>
      <c r="N1030">
        <f t="shared" si="17"/>
        <v>6855.75</v>
      </c>
      <c r="O1030" t="s">
        <v>38</v>
      </c>
      <c r="P1030" t="s">
        <v>31</v>
      </c>
      <c r="Q1030" t="s">
        <v>39</v>
      </c>
    </row>
    <row r="1031" spans="1:17" x14ac:dyDescent="0.3">
      <c r="A1031" t="s">
        <v>1109</v>
      </c>
      <c r="B1031" s="1">
        <v>45406</v>
      </c>
      <c r="C1031" t="s">
        <v>18</v>
      </c>
      <c r="D1031" t="s">
        <v>92</v>
      </c>
      <c r="E1031" t="s">
        <v>63</v>
      </c>
      <c r="F1031" t="s">
        <v>64</v>
      </c>
      <c r="G1031" t="s">
        <v>65</v>
      </c>
      <c r="H1031">
        <v>4000</v>
      </c>
      <c r="I1031">
        <v>2</v>
      </c>
      <c r="J1031">
        <v>15</v>
      </c>
      <c r="K1031">
        <v>25</v>
      </c>
      <c r="L1031">
        <v>6800</v>
      </c>
      <c r="M1031">
        <v>5804.08</v>
      </c>
      <c r="N1031">
        <f t="shared" si="17"/>
        <v>995.92000000000007</v>
      </c>
      <c r="O1031" t="s">
        <v>38</v>
      </c>
      <c r="P1031" t="s">
        <v>31</v>
      </c>
      <c r="Q1031" t="s">
        <v>39</v>
      </c>
    </row>
    <row r="1032" spans="1:17" x14ac:dyDescent="0.3">
      <c r="A1032" t="s">
        <v>1110</v>
      </c>
      <c r="B1032" s="1">
        <v>45294</v>
      </c>
      <c r="C1032" t="s">
        <v>53</v>
      </c>
      <c r="D1032" t="s">
        <v>35</v>
      </c>
      <c r="E1032" t="s">
        <v>20</v>
      </c>
      <c r="F1032" t="s">
        <v>21</v>
      </c>
      <c r="G1032" t="s">
        <v>22</v>
      </c>
      <c r="H1032">
        <v>6000</v>
      </c>
      <c r="I1032">
        <v>2</v>
      </c>
      <c r="J1032">
        <v>5</v>
      </c>
      <c r="K1032">
        <v>0</v>
      </c>
      <c r="L1032">
        <v>11400</v>
      </c>
      <c r="M1032">
        <v>10298.35</v>
      </c>
      <c r="N1032">
        <f t="shared" si="17"/>
        <v>1101.6499999999996</v>
      </c>
      <c r="O1032" t="s">
        <v>23</v>
      </c>
      <c r="P1032" t="s">
        <v>31</v>
      </c>
      <c r="Q1032" t="s">
        <v>32</v>
      </c>
    </row>
    <row r="1033" spans="1:17" x14ac:dyDescent="0.3">
      <c r="A1033" t="s">
        <v>1111</v>
      </c>
      <c r="B1033" s="1">
        <v>45317</v>
      </c>
      <c r="C1033" t="s">
        <v>49</v>
      </c>
      <c r="D1033" t="s">
        <v>41</v>
      </c>
      <c r="E1033" t="s">
        <v>20</v>
      </c>
      <c r="F1033" t="s">
        <v>21</v>
      </c>
      <c r="G1033" t="s">
        <v>22</v>
      </c>
      <c r="H1033">
        <v>6000</v>
      </c>
      <c r="I1033">
        <v>15</v>
      </c>
      <c r="J1033">
        <v>15</v>
      </c>
      <c r="K1033">
        <v>10</v>
      </c>
      <c r="L1033">
        <v>76500</v>
      </c>
      <c r="M1033">
        <v>80214.62</v>
      </c>
      <c r="N1033">
        <f t="shared" si="17"/>
        <v>-3714.6199999999953</v>
      </c>
      <c r="O1033" t="s">
        <v>23</v>
      </c>
      <c r="P1033" t="s">
        <v>24</v>
      </c>
      <c r="Q1033" t="s">
        <v>25</v>
      </c>
    </row>
    <row r="1034" spans="1:17" x14ac:dyDescent="0.3">
      <c r="A1034" t="s">
        <v>1112</v>
      </c>
      <c r="B1034" s="1">
        <v>45384</v>
      </c>
      <c r="C1034" t="s">
        <v>53</v>
      </c>
      <c r="D1034" t="s">
        <v>70</v>
      </c>
      <c r="E1034" t="s">
        <v>140</v>
      </c>
      <c r="F1034" t="s">
        <v>141</v>
      </c>
      <c r="G1034" t="s">
        <v>142</v>
      </c>
      <c r="H1034">
        <v>12000</v>
      </c>
      <c r="I1034">
        <v>7</v>
      </c>
      <c r="J1034">
        <v>15</v>
      </c>
      <c r="K1034">
        <v>20</v>
      </c>
      <c r="L1034">
        <v>71400</v>
      </c>
      <c r="M1034">
        <v>64515.99</v>
      </c>
      <c r="N1034">
        <f t="shared" si="17"/>
        <v>6884.010000000002</v>
      </c>
      <c r="O1034" t="s">
        <v>38</v>
      </c>
      <c r="P1034" t="s">
        <v>31</v>
      </c>
      <c r="Q1034" t="s">
        <v>39</v>
      </c>
    </row>
    <row r="1035" spans="1:17" x14ac:dyDescent="0.3">
      <c r="A1035" t="s">
        <v>1113</v>
      </c>
      <c r="B1035" s="1">
        <v>45392</v>
      </c>
      <c r="C1035" t="s">
        <v>53</v>
      </c>
      <c r="D1035" t="s">
        <v>41</v>
      </c>
      <c r="E1035" t="s">
        <v>104</v>
      </c>
      <c r="F1035" t="s">
        <v>29</v>
      </c>
      <c r="G1035" t="s">
        <v>30</v>
      </c>
      <c r="H1035">
        <v>1200</v>
      </c>
      <c r="I1035">
        <v>3</v>
      </c>
      <c r="J1035">
        <v>15</v>
      </c>
      <c r="K1035">
        <v>25</v>
      </c>
      <c r="L1035">
        <v>3060</v>
      </c>
      <c r="M1035">
        <v>2839.11</v>
      </c>
      <c r="N1035">
        <f t="shared" si="17"/>
        <v>220.88999999999987</v>
      </c>
      <c r="O1035" t="s">
        <v>38</v>
      </c>
      <c r="P1035" t="s">
        <v>31</v>
      </c>
      <c r="Q1035" t="s">
        <v>39</v>
      </c>
    </row>
    <row r="1036" spans="1:17" x14ac:dyDescent="0.3">
      <c r="A1036" t="s">
        <v>1114</v>
      </c>
      <c r="B1036" s="1">
        <v>45411</v>
      </c>
      <c r="C1036" t="s">
        <v>18</v>
      </c>
      <c r="D1036" t="s">
        <v>92</v>
      </c>
      <c r="E1036" t="s">
        <v>61</v>
      </c>
      <c r="F1036" t="s">
        <v>29</v>
      </c>
      <c r="G1036" t="s">
        <v>43</v>
      </c>
      <c r="H1036">
        <v>2800</v>
      </c>
      <c r="I1036">
        <v>2</v>
      </c>
      <c r="J1036">
        <v>15</v>
      </c>
      <c r="K1036">
        <v>10</v>
      </c>
      <c r="L1036">
        <v>4760</v>
      </c>
      <c r="M1036">
        <v>4494.68</v>
      </c>
      <c r="N1036">
        <f t="shared" si="17"/>
        <v>265.31999999999971</v>
      </c>
      <c r="O1036" t="s">
        <v>23</v>
      </c>
      <c r="P1036" t="s">
        <v>31</v>
      </c>
      <c r="Q1036" t="s">
        <v>32</v>
      </c>
    </row>
    <row r="1037" spans="1:17" x14ac:dyDescent="0.3">
      <c r="A1037" t="s">
        <v>1115</v>
      </c>
      <c r="B1037" s="1">
        <v>45428</v>
      </c>
      <c r="C1037" t="s">
        <v>34</v>
      </c>
      <c r="D1037" t="s">
        <v>70</v>
      </c>
      <c r="E1037" t="s">
        <v>42</v>
      </c>
      <c r="F1037" t="s">
        <v>29</v>
      </c>
      <c r="G1037" t="s">
        <v>43</v>
      </c>
      <c r="H1037">
        <v>500</v>
      </c>
      <c r="I1037">
        <v>7</v>
      </c>
      <c r="J1037">
        <v>5</v>
      </c>
      <c r="K1037">
        <v>20</v>
      </c>
      <c r="L1037">
        <v>3325</v>
      </c>
      <c r="M1037">
        <v>3251.35</v>
      </c>
      <c r="N1037">
        <f t="shared" si="17"/>
        <v>73.650000000000091</v>
      </c>
      <c r="O1037" t="s">
        <v>38</v>
      </c>
      <c r="P1037" t="s">
        <v>31</v>
      </c>
      <c r="Q1037" t="s">
        <v>39</v>
      </c>
    </row>
    <row r="1038" spans="1:17" x14ac:dyDescent="0.3">
      <c r="A1038" t="s">
        <v>1116</v>
      </c>
      <c r="B1038" s="1">
        <v>45325</v>
      </c>
      <c r="C1038" t="s">
        <v>49</v>
      </c>
      <c r="D1038" t="s">
        <v>19</v>
      </c>
      <c r="E1038" t="s">
        <v>151</v>
      </c>
      <c r="F1038" t="s">
        <v>141</v>
      </c>
      <c r="G1038" t="s">
        <v>142</v>
      </c>
      <c r="H1038">
        <v>3500</v>
      </c>
      <c r="I1038">
        <v>7</v>
      </c>
      <c r="J1038">
        <v>15</v>
      </c>
      <c r="K1038">
        <v>5</v>
      </c>
      <c r="L1038">
        <v>20825</v>
      </c>
      <c r="M1038">
        <v>21031.63</v>
      </c>
      <c r="N1038">
        <f t="shared" si="17"/>
        <v>-206.63000000000102</v>
      </c>
      <c r="O1038" t="s">
        <v>23</v>
      </c>
      <c r="P1038" t="s">
        <v>24</v>
      </c>
      <c r="Q1038" t="s">
        <v>25</v>
      </c>
    </row>
    <row r="1039" spans="1:17" x14ac:dyDescent="0.3">
      <c r="A1039" t="s">
        <v>1117</v>
      </c>
      <c r="B1039" s="1">
        <v>45314</v>
      </c>
      <c r="C1039" t="s">
        <v>18</v>
      </c>
      <c r="D1039" t="s">
        <v>27</v>
      </c>
      <c r="E1039" t="s">
        <v>67</v>
      </c>
      <c r="F1039" t="s">
        <v>29</v>
      </c>
      <c r="G1039" t="s">
        <v>68</v>
      </c>
      <c r="H1039">
        <v>1200</v>
      </c>
      <c r="I1039">
        <v>12</v>
      </c>
      <c r="J1039">
        <v>15</v>
      </c>
      <c r="K1039">
        <v>0</v>
      </c>
      <c r="L1039">
        <v>12240</v>
      </c>
      <c r="M1039">
        <v>11151.88</v>
      </c>
      <c r="N1039">
        <f t="shared" si="17"/>
        <v>1088.1200000000008</v>
      </c>
      <c r="O1039" t="s">
        <v>23</v>
      </c>
      <c r="P1039" t="s">
        <v>31</v>
      </c>
      <c r="Q1039" t="s">
        <v>32</v>
      </c>
    </row>
    <row r="1040" spans="1:17" x14ac:dyDescent="0.3">
      <c r="A1040" t="s">
        <v>1118</v>
      </c>
      <c r="B1040" s="1">
        <v>45358</v>
      </c>
      <c r="C1040" t="s">
        <v>34</v>
      </c>
      <c r="D1040" t="s">
        <v>92</v>
      </c>
      <c r="E1040" t="s">
        <v>36</v>
      </c>
      <c r="F1040" t="s">
        <v>29</v>
      </c>
      <c r="G1040" t="s">
        <v>37</v>
      </c>
      <c r="H1040">
        <v>1200</v>
      </c>
      <c r="I1040">
        <v>7</v>
      </c>
      <c r="J1040">
        <v>15</v>
      </c>
      <c r="K1040">
        <v>10</v>
      </c>
      <c r="L1040">
        <v>7140</v>
      </c>
      <c r="M1040">
        <v>6571.98</v>
      </c>
      <c r="N1040">
        <f t="shared" si="17"/>
        <v>568.02000000000044</v>
      </c>
      <c r="O1040" t="s">
        <v>23</v>
      </c>
      <c r="P1040" t="s">
        <v>31</v>
      </c>
      <c r="Q1040" t="s">
        <v>32</v>
      </c>
    </row>
    <row r="1041" spans="1:17" x14ac:dyDescent="0.3">
      <c r="A1041" t="s">
        <v>1119</v>
      </c>
      <c r="B1041" s="1">
        <v>45435</v>
      </c>
      <c r="C1041" t="s">
        <v>18</v>
      </c>
      <c r="D1041" t="s">
        <v>19</v>
      </c>
      <c r="E1041" t="s">
        <v>90</v>
      </c>
      <c r="F1041" t="s">
        <v>29</v>
      </c>
      <c r="G1041" t="s">
        <v>37</v>
      </c>
      <c r="H1041">
        <v>6500</v>
      </c>
      <c r="I1041">
        <v>9</v>
      </c>
      <c r="J1041">
        <v>10</v>
      </c>
      <c r="K1041">
        <v>0</v>
      </c>
      <c r="L1041">
        <v>52650</v>
      </c>
      <c r="M1041">
        <v>51882.47</v>
      </c>
      <c r="N1041">
        <f t="shared" si="17"/>
        <v>767.52999999999884</v>
      </c>
      <c r="O1041" t="s">
        <v>23</v>
      </c>
      <c r="P1041" t="s">
        <v>31</v>
      </c>
      <c r="Q1041" t="s">
        <v>32</v>
      </c>
    </row>
    <row r="1042" spans="1:17" x14ac:dyDescent="0.3">
      <c r="A1042" t="s">
        <v>1120</v>
      </c>
      <c r="B1042" s="1">
        <v>45297</v>
      </c>
      <c r="C1042" t="s">
        <v>49</v>
      </c>
      <c r="D1042" t="s">
        <v>41</v>
      </c>
      <c r="E1042" t="s">
        <v>102</v>
      </c>
      <c r="F1042" t="s">
        <v>29</v>
      </c>
      <c r="G1042" t="s">
        <v>43</v>
      </c>
      <c r="H1042">
        <v>1500</v>
      </c>
      <c r="I1042">
        <v>1</v>
      </c>
      <c r="J1042">
        <v>15</v>
      </c>
      <c r="K1042">
        <v>10</v>
      </c>
      <c r="L1042">
        <v>1275</v>
      </c>
      <c r="M1042">
        <v>1264.99</v>
      </c>
      <c r="N1042">
        <f t="shared" si="17"/>
        <v>10.009999999999991</v>
      </c>
      <c r="O1042" t="s">
        <v>23</v>
      </c>
      <c r="P1042" t="s">
        <v>31</v>
      </c>
      <c r="Q1042" t="s">
        <v>32</v>
      </c>
    </row>
    <row r="1043" spans="1:17" x14ac:dyDescent="0.3">
      <c r="A1043" t="s">
        <v>1121</v>
      </c>
      <c r="B1043" s="1">
        <v>45351</v>
      </c>
      <c r="C1043" t="s">
        <v>53</v>
      </c>
      <c r="D1043" t="s">
        <v>41</v>
      </c>
      <c r="E1043" t="s">
        <v>54</v>
      </c>
      <c r="F1043" t="s">
        <v>46</v>
      </c>
      <c r="G1043" t="s">
        <v>55</v>
      </c>
      <c r="H1043">
        <v>4500</v>
      </c>
      <c r="I1043">
        <v>2</v>
      </c>
      <c r="J1043">
        <v>15</v>
      </c>
      <c r="K1043">
        <v>25</v>
      </c>
      <c r="L1043">
        <v>7650</v>
      </c>
      <c r="M1043">
        <v>7574.58</v>
      </c>
      <c r="N1043">
        <f t="shared" si="17"/>
        <v>75.420000000000073</v>
      </c>
      <c r="O1043" t="s">
        <v>38</v>
      </c>
      <c r="P1043" t="s">
        <v>31</v>
      </c>
      <c r="Q1043" t="s">
        <v>39</v>
      </c>
    </row>
    <row r="1044" spans="1:17" x14ac:dyDescent="0.3">
      <c r="A1044" t="s">
        <v>1122</v>
      </c>
      <c r="B1044" s="1">
        <v>45426</v>
      </c>
      <c r="C1044" t="s">
        <v>18</v>
      </c>
      <c r="D1044" t="s">
        <v>92</v>
      </c>
      <c r="E1044" t="s">
        <v>20</v>
      </c>
      <c r="F1044" t="s">
        <v>21</v>
      </c>
      <c r="G1044" t="s">
        <v>22</v>
      </c>
      <c r="H1044">
        <v>6000</v>
      </c>
      <c r="I1044">
        <v>10</v>
      </c>
      <c r="J1044">
        <v>15</v>
      </c>
      <c r="K1044">
        <v>25</v>
      </c>
      <c r="L1044">
        <v>51000</v>
      </c>
      <c r="M1044">
        <v>50242.19</v>
      </c>
      <c r="N1044">
        <f t="shared" si="17"/>
        <v>757.80999999999767</v>
      </c>
      <c r="O1044" t="s">
        <v>38</v>
      </c>
      <c r="P1044" t="s">
        <v>31</v>
      </c>
      <c r="Q1044" t="s">
        <v>39</v>
      </c>
    </row>
    <row r="1045" spans="1:17" x14ac:dyDescent="0.3">
      <c r="A1045" t="s">
        <v>1123</v>
      </c>
      <c r="B1045" s="1">
        <v>45335</v>
      </c>
      <c r="C1045" t="s">
        <v>18</v>
      </c>
      <c r="D1045" t="s">
        <v>92</v>
      </c>
      <c r="E1045" t="s">
        <v>75</v>
      </c>
      <c r="F1045" t="s">
        <v>76</v>
      </c>
      <c r="G1045" t="s">
        <v>77</v>
      </c>
      <c r="H1045">
        <v>8000</v>
      </c>
      <c r="I1045">
        <v>7</v>
      </c>
      <c r="J1045">
        <v>10</v>
      </c>
      <c r="K1045">
        <v>0</v>
      </c>
      <c r="L1045">
        <v>50400</v>
      </c>
      <c r="M1045">
        <v>52237.74</v>
      </c>
      <c r="N1045">
        <f t="shared" si="17"/>
        <v>-1837.739999999998</v>
      </c>
      <c r="O1045" t="s">
        <v>23</v>
      </c>
      <c r="P1045" t="s">
        <v>24</v>
      </c>
      <c r="Q1045" t="s">
        <v>25</v>
      </c>
    </row>
    <row r="1046" spans="1:17" x14ac:dyDescent="0.3">
      <c r="A1046" t="s">
        <v>1124</v>
      </c>
      <c r="B1046" s="1">
        <v>45436</v>
      </c>
      <c r="C1046" t="s">
        <v>34</v>
      </c>
      <c r="D1046" t="s">
        <v>70</v>
      </c>
      <c r="E1046" t="s">
        <v>54</v>
      </c>
      <c r="F1046" t="s">
        <v>46</v>
      </c>
      <c r="G1046" t="s">
        <v>55</v>
      </c>
      <c r="H1046">
        <v>4500</v>
      </c>
      <c r="I1046">
        <v>9</v>
      </c>
      <c r="J1046">
        <v>5</v>
      </c>
      <c r="K1046">
        <v>20</v>
      </c>
      <c r="L1046">
        <v>38475</v>
      </c>
      <c r="M1046">
        <v>36157.31</v>
      </c>
      <c r="N1046">
        <f t="shared" si="17"/>
        <v>2317.6900000000023</v>
      </c>
      <c r="O1046" t="s">
        <v>38</v>
      </c>
      <c r="P1046" t="s">
        <v>31</v>
      </c>
      <c r="Q1046" t="s">
        <v>39</v>
      </c>
    </row>
    <row r="1047" spans="1:17" x14ac:dyDescent="0.3">
      <c r="A1047" t="s">
        <v>1125</v>
      </c>
      <c r="B1047" s="1">
        <v>45347</v>
      </c>
      <c r="C1047" t="s">
        <v>49</v>
      </c>
      <c r="D1047" t="s">
        <v>27</v>
      </c>
      <c r="E1047" t="s">
        <v>54</v>
      </c>
      <c r="F1047" t="s">
        <v>46</v>
      </c>
      <c r="G1047" t="s">
        <v>55</v>
      </c>
      <c r="H1047">
        <v>4500</v>
      </c>
      <c r="I1047">
        <v>9</v>
      </c>
      <c r="J1047">
        <v>5</v>
      </c>
      <c r="K1047">
        <v>20</v>
      </c>
      <c r="L1047">
        <v>38475</v>
      </c>
      <c r="M1047">
        <v>35435.5</v>
      </c>
      <c r="N1047">
        <f t="shared" si="17"/>
        <v>3039.5</v>
      </c>
      <c r="O1047" t="s">
        <v>38</v>
      </c>
      <c r="P1047" t="s">
        <v>31</v>
      </c>
      <c r="Q1047" t="s">
        <v>39</v>
      </c>
    </row>
    <row r="1048" spans="1:17" x14ac:dyDescent="0.3">
      <c r="A1048" t="s">
        <v>1126</v>
      </c>
      <c r="B1048" s="1">
        <v>45464</v>
      </c>
      <c r="C1048" t="s">
        <v>49</v>
      </c>
      <c r="D1048" t="s">
        <v>70</v>
      </c>
      <c r="E1048" t="s">
        <v>140</v>
      </c>
      <c r="F1048" t="s">
        <v>141</v>
      </c>
      <c r="G1048" t="s">
        <v>142</v>
      </c>
      <c r="H1048">
        <v>12000</v>
      </c>
      <c r="I1048">
        <v>9</v>
      </c>
      <c r="J1048">
        <v>15</v>
      </c>
      <c r="K1048">
        <v>20</v>
      </c>
      <c r="L1048">
        <v>91800</v>
      </c>
      <c r="M1048">
        <v>84880.4</v>
      </c>
      <c r="N1048">
        <f t="shared" si="17"/>
        <v>6919.6000000000058</v>
      </c>
      <c r="O1048" t="s">
        <v>38</v>
      </c>
      <c r="P1048" t="s">
        <v>31</v>
      </c>
      <c r="Q1048" t="s">
        <v>39</v>
      </c>
    </row>
    <row r="1049" spans="1:17" x14ac:dyDescent="0.3">
      <c r="A1049" t="s">
        <v>1127</v>
      </c>
      <c r="B1049" s="1">
        <v>45356</v>
      </c>
      <c r="C1049" t="s">
        <v>49</v>
      </c>
      <c r="D1049" t="s">
        <v>19</v>
      </c>
      <c r="E1049" t="s">
        <v>67</v>
      </c>
      <c r="F1049" t="s">
        <v>29</v>
      </c>
      <c r="G1049" t="s">
        <v>68</v>
      </c>
      <c r="H1049">
        <v>1200</v>
      </c>
      <c r="I1049">
        <v>10</v>
      </c>
      <c r="J1049">
        <v>10</v>
      </c>
      <c r="K1049">
        <v>0</v>
      </c>
      <c r="L1049">
        <v>10800</v>
      </c>
      <c r="M1049">
        <v>9415.7800000000007</v>
      </c>
      <c r="N1049">
        <f t="shared" si="17"/>
        <v>1384.2199999999993</v>
      </c>
      <c r="O1049" t="s">
        <v>23</v>
      </c>
      <c r="P1049" t="s">
        <v>31</v>
      </c>
      <c r="Q1049" t="s">
        <v>32</v>
      </c>
    </row>
    <row r="1050" spans="1:17" x14ac:dyDescent="0.3">
      <c r="A1050" t="s">
        <v>1128</v>
      </c>
      <c r="B1050" s="1">
        <v>45415</v>
      </c>
      <c r="C1050" t="s">
        <v>18</v>
      </c>
      <c r="D1050" t="s">
        <v>92</v>
      </c>
      <c r="E1050" t="s">
        <v>50</v>
      </c>
      <c r="F1050" t="s">
        <v>21</v>
      </c>
      <c r="G1050" t="s">
        <v>51</v>
      </c>
      <c r="H1050">
        <v>4500</v>
      </c>
      <c r="I1050">
        <v>1</v>
      </c>
      <c r="J1050">
        <v>10</v>
      </c>
      <c r="K1050">
        <v>20</v>
      </c>
      <c r="L1050">
        <v>4050</v>
      </c>
      <c r="M1050">
        <v>3697.93</v>
      </c>
      <c r="N1050">
        <f t="shared" si="17"/>
        <v>352.07000000000016</v>
      </c>
      <c r="O1050" t="s">
        <v>38</v>
      </c>
      <c r="P1050" t="s">
        <v>31</v>
      </c>
      <c r="Q1050" t="s">
        <v>39</v>
      </c>
    </row>
    <row r="1051" spans="1:17" x14ac:dyDescent="0.3">
      <c r="A1051" t="s">
        <v>1129</v>
      </c>
      <c r="B1051" s="1">
        <v>45329</v>
      </c>
      <c r="C1051" t="s">
        <v>49</v>
      </c>
      <c r="D1051" t="s">
        <v>27</v>
      </c>
      <c r="E1051" t="s">
        <v>42</v>
      </c>
      <c r="F1051" t="s">
        <v>29</v>
      </c>
      <c r="G1051" t="s">
        <v>43</v>
      </c>
      <c r="H1051">
        <v>500</v>
      </c>
      <c r="I1051">
        <v>5</v>
      </c>
      <c r="J1051">
        <v>5</v>
      </c>
      <c r="K1051">
        <v>25</v>
      </c>
      <c r="L1051">
        <v>2375</v>
      </c>
      <c r="M1051">
        <v>2467.35</v>
      </c>
      <c r="N1051">
        <f t="shared" si="17"/>
        <v>-92.349999999999909</v>
      </c>
      <c r="O1051" t="s">
        <v>38</v>
      </c>
      <c r="P1051" t="s">
        <v>24</v>
      </c>
      <c r="Q1051" t="s">
        <v>39</v>
      </c>
    </row>
    <row r="1052" spans="1:17" x14ac:dyDescent="0.3">
      <c r="A1052" t="s">
        <v>1130</v>
      </c>
      <c r="B1052" s="1">
        <v>45457</v>
      </c>
      <c r="C1052" t="s">
        <v>34</v>
      </c>
      <c r="D1052" t="s">
        <v>92</v>
      </c>
      <c r="E1052" t="s">
        <v>102</v>
      </c>
      <c r="F1052" t="s">
        <v>29</v>
      </c>
      <c r="G1052" t="s">
        <v>43</v>
      </c>
      <c r="H1052">
        <v>1500</v>
      </c>
      <c r="I1052">
        <v>8</v>
      </c>
      <c r="J1052">
        <v>10</v>
      </c>
      <c r="K1052">
        <v>10</v>
      </c>
      <c r="L1052">
        <v>10800</v>
      </c>
      <c r="M1052">
        <v>9931.1299999999992</v>
      </c>
      <c r="N1052">
        <f t="shared" si="17"/>
        <v>868.8700000000008</v>
      </c>
      <c r="O1052" t="s">
        <v>23</v>
      </c>
      <c r="P1052" t="s">
        <v>31</v>
      </c>
      <c r="Q1052" t="s">
        <v>32</v>
      </c>
    </row>
    <row r="1053" spans="1:17" x14ac:dyDescent="0.3">
      <c r="A1053" t="s">
        <v>1131</v>
      </c>
      <c r="B1053" s="1">
        <v>45339</v>
      </c>
      <c r="C1053" t="s">
        <v>49</v>
      </c>
      <c r="D1053" t="s">
        <v>70</v>
      </c>
      <c r="E1053" t="s">
        <v>45</v>
      </c>
      <c r="F1053" t="s">
        <v>46</v>
      </c>
      <c r="G1053" t="s">
        <v>47</v>
      </c>
      <c r="H1053">
        <v>15000</v>
      </c>
      <c r="I1053">
        <v>2</v>
      </c>
      <c r="J1053">
        <v>15</v>
      </c>
      <c r="K1053">
        <v>25</v>
      </c>
      <c r="L1053">
        <v>25500</v>
      </c>
      <c r="M1053">
        <v>26183.97</v>
      </c>
      <c r="N1053">
        <f t="shared" si="17"/>
        <v>-683.97000000000116</v>
      </c>
      <c r="O1053" t="s">
        <v>38</v>
      </c>
      <c r="P1053" t="s">
        <v>24</v>
      </c>
      <c r="Q1053" t="s">
        <v>39</v>
      </c>
    </row>
    <row r="1054" spans="1:17" x14ac:dyDescent="0.3">
      <c r="A1054" t="s">
        <v>1132</v>
      </c>
      <c r="B1054" s="1">
        <v>45453</v>
      </c>
      <c r="C1054" t="s">
        <v>53</v>
      </c>
      <c r="D1054" t="s">
        <v>92</v>
      </c>
      <c r="E1054" t="s">
        <v>129</v>
      </c>
      <c r="F1054" t="s">
        <v>21</v>
      </c>
      <c r="G1054" t="s">
        <v>82</v>
      </c>
      <c r="H1054">
        <v>3500</v>
      </c>
      <c r="I1054">
        <v>6</v>
      </c>
      <c r="J1054">
        <v>15</v>
      </c>
      <c r="K1054">
        <v>0</v>
      </c>
      <c r="L1054">
        <v>17850</v>
      </c>
      <c r="M1054">
        <v>17267.330000000002</v>
      </c>
      <c r="N1054">
        <f t="shared" si="17"/>
        <v>582.66999999999825</v>
      </c>
      <c r="O1054" t="s">
        <v>23</v>
      </c>
      <c r="P1054" t="s">
        <v>31</v>
      </c>
      <c r="Q1054" t="s">
        <v>32</v>
      </c>
    </row>
    <row r="1055" spans="1:17" x14ac:dyDescent="0.3">
      <c r="A1055" t="s">
        <v>1133</v>
      </c>
      <c r="B1055" s="1">
        <v>45298</v>
      </c>
      <c r="C1055" t="s">
        <v>18</v>
      </c>
      <c r="D1055" t="s">
        <v>27</v>
      </c>
      <c r="E1055" t="s">
        <v>100</v>
      </c>
      <c r="F1055" t="s">
        <v>46</v>
      </c>
      <c r="G1055" t="s">
        <v>55</v>
      </c>
      <c r="H1055">
        <v>2500</v>
      </c>
      <c r="I1055">
        <v>9</v>
      </c>
      <c r="J1055">
        <v>5</v>
      </c>
      <c r="K1055">
        <v>15</v>
      </c>
      <c r="L1055">
        <v>21375</v>
      </c>
      <c r="M1055">
        <v>21362.65</v>
      </c>
      <c r="N1055">
        <f t="shared" si="17"/>
        <v>12.349999999998545</v>
      </c>
      <c r="O1055" t="s">
        <v>38</v>
      </c>
      <c r="P1055" t="s">
        <v>31</v>
      </c>
      <c r="Q1055" t="s">
        <v>39</v>
      </c>
    </row>
    <row r="1056" spans="1:17" x14ac:dyDescent="0.3">
      <c r="A1056" t="s">
        <v>1134</v>
      </c>
      <c r="B1056" s="1">
        <v>45421</v>
      </c>
      <c r="C1056" t="s">
        <v>34</v>
      </c>
      <c r="D1056" t="s">
        <v>41</v>
      </c>
      <c r="E1056" t="s">
        <v>36</v>
      </c>
      <c r="F1056" t="s">
        <v>29</v>
      </c>
      <c r="G1056" t="s">
        <v>37</v>
      </c>
      <c r="H1056">
        <v>1200</v>
      </c>
      <c r="I1056">
        <v>11</v>
      </c>
      <c r="J1056">
        <v>10</v>
      </c>
      <c r="K1056">
        <v>10</v>
      </c>
      <c r="L1056">
        <v>11880</v>
      </c>
      <c r="M1056">
        <v>11737.04</v>
      </c>
      <c r="N1056">
        <f t="shared" si="17"/>
        <v>142.95999999999913</v>
      </c>
      <c r="O1056" t="s">
        <v>23</v>
      </c>
      <c r="P1056" t="s">
        <v>31</v>
      </c>
      <c r="Q1056" t="s">
        <v>32</v>
      </c>
    </row>
    <row r="1057" spans="1:17" x14ac:dyDescent="0.3">
      <c r="A1057" t="s">
        <v>1135</v>
      </c>
      <c r="B1057" s="1">
        <v>45375</v>
      </c>
      <c r="C1057" t="s">
        <v>49</v>
      </c>
      <c r="D1057" t="s">
        <v>19</v>
      </c>
      <c r="E1057" t="s">
        <v>28</v>
      </c>
      <c r="F1057" t="s">
        <v>29</v>
      </c>
      <c r="G1057" t="s">
        <v>30</v>
      </c>
      <c r="H1057">
        <v>1800</v>
      </c>
      <c r="I1057">
        <v>2</v>
      </c>
      <c r="J1057">
        <v>5</v>
      </c>
      <c r="K1057">
        <v>25</v>
      </c>
      <c r="L1057">
        <v>3420</v>
      </c>
      <c r="M1057">
        <v>3261.62</v>
      </c>
      <c r="N1057">
        <f t="shared" si="17"/>
        <v>158.38000000000011</v>
      </c>
      <c r="O1057" t="s">
        <v>38</v>
      </c>
      <c r="P1057" t="s">
        <v>31</v>
      </c>
      <c r="Q1057" t="s">
        <v>39</v>
      </c>
    </row>
    <row r="1058" spans="1:17" x14ac:dyDescent="0.3">
      <c r="A1058" t="s">
        <v>1136</v>
      </c>
      <c r="B1058" s="1">
        <v>45342</v>
      </c>
      <c r="C1058" t="s">
        <v>53</v>
      </c>
      <c r="D1058" t="s">
        <v>41</v>
      </c>
      <c r="E1058" t="s">
        <v>63</v>
      </c>
      <c r="F1058" t="s">
        <v>64</v>
      </c>
      <c r="G1058" t="s">
        <v>65</v>
      </c>
      <c r="H1058">
        <v>4000</v>
      </c>
      <c r="I1058">
        <v>10</v>
      </c>
      <c r="J1058">
        <v>5</v>
      </c>
      <c r="K1058">
        <v>20</v>
      </c>
      <c r="L1058">
        <v>38000</v>
      </c>
      <c r="M1058">
        <v>35260.47</v>
      </c>
      <c r="N1058">
        <f t="shared" si="17"/>
        <v>2739.5299999999988</v>
      </c>
      <c r="O1058" t="s">
        <v>38</v>
      </c>
      <c r="P1058" t="s">
        <v>31</v>
      </c>
      <c r="Q1058" t="s">
        <v>39</v>
      </c>
    </row>
    <row r="1059" spans="1:17" x14ac:dyDescent="0.3">
      <c r="A1059" t="s">
        <v>1137</v>
      </c>
      <c r="B1059" s="1">
        <v>45357</v>
      </c>
      <c r="C1059" t="s">
        <v>18</v>
      </c>
      <c r="D1059" t="s">
        <v>92</v>
      </c>
      <c r="E1059" t="s">
        <v>20</v>
      </c>
      <c r="F1059" t="s">
        <v>21</v>
      </c>
      <c r="G1059" t="s">
        <v>22</v>
      </c>
      <c r="H1059">
        <v>6000</v>
      </c>
      <c r="I1059">
        <v>3</v>
      </c>
      <c r="J1059">
        <v>5</v>
      </c>
      <c r="K1059">
        <v>20</v>
      </c>
      <c r="L1059">
        <v>17100</v>
      </c>
      <c r="M1059">
        <v>16036.87</v>
      </c>
      <c r="N1059">
        <f t="shared" si="17"/>
        <v>1063.1299999999992</v>
      </c>
      <c r="O1059" t="s">
        <v>38</v>
      </c>
      <c r="P1059" t="s">
        <v>31</v>
      </c>
      <c r="Q1059" t="s">
        <v>39</v>
      </c>
    </row>
    <row r="1060" spans="1:17" x14ac:dyDescent="0.3">
      <c r="A1060" t="s">
        <v>1138</v>
      </c>
      <c r="B1060" s="1">
        <v>45292</v>
      </c>
      <c r="C1060" t="s">
        <v>49</v>
      </c>
      <c r="D1060" t="s">
        <v>27</v>
      </c>
      <c r="E1060" t="s">
        <v>57</v>
      </c>
      <c r="F1060" t="s">
        <v>46</v>
      </c>
      <c r="G1060" t="s">
        <v>58</v>
      </c>
      <c r="H1060">
        <v>18000</v>
      </c>
      <c r="I1060">
        <v>7</v>
      </c>
      <c r="J1060">
        <v>15</v>
      </c>
      <c r="K1060">
        <v>10</v>
      </c>
      <c r="L1060">
        <v>107100</v>
      </c>
      <c r="M1060">
        <v>110270.63</v>
      </c>
      <c r="N1060">
        <f t="shared" si="17"/>
        <v>-3170.6300000000047</v>
      </c>
      <c r="O1060" t="s">
        <v>23</v>
      </c>
      <c r="P1060" t="s">
        <v>24</v>
      </c>
      <c r="Q1060" t="s">
        <v>25</v>
      </c>
    </row>
    <row r="1061" spans="1:17" x14ac:dyDescent="0.3">
      <c r="A1061" t="s">
        <v>1139</v>
      </c>
      <c r="B1061" s="1">
        <v>45419</v>
      </c>
      <c r="C1061" t="s">
        <v>53</v>
      </c>
      <c r="D1061" t="s">
        <v>27</v>
      </c>
      <c r="E1061" t="s">
        <v>61</v>
      </c>
      <c r="F1061" t="s">
        <v>29</v>
      </c>
      <c r="G1061" t="s">
        <v>43</v>
      </c>
      <c r="H1061">
        <v>2800</v>
      </c>
      <c r="I1061">
        <v>13</v>
      </c>
      <c r="J1061">
        <v>15</v>
      </c>
      <c r="K1061">
        <v>0</v>
      </c>
      <c r="L1061">
        <v>30940</v>
      </c>
      <c r="M1061">
        <v>32238.52</v>
      </c>
      <c r="N1061">
        <f t="shared" si="17"/>
        <v>-1298.5200000000004</v>
      </c>
      <c r="O1061" t="s">
        <v>23</v>
      </c>
      <c r="P1061" t="s">
        <v>24</v>
      </c>
      <c r="Q1061" t="s">
        <v>25</v>
      </c>
    </row>
    <row r="1062" spans="1:17" x14ac:dyDescent="0.3">
      <c r="A1062" t="s">
        <v>1140</v>
      </c>
      <c r="B1062" s="1">
        <v>45386</v>
      </c>
      <c r="C1062" t="s">
        <v>34</v>
      </c>
      <c r="D1062" t="s">
        <v>41</v>
      </c>
      <c r="E1062" t="s">
        <v>167</v>
      </c>
      <c r="F1062" t="s">
        <v>21</v>
      </c>
      <c r="G1062" t="s">
        <v>82</v>
      </c>
      <c r="H1062">
        <v>7000</v>
      </c>
      <c r="I1062">
        <v>15</v>
      </c>
      <c r="J1062">
        <v>15</v>
      </c>
      <c r="K1062">
        <v>15</v>
      </c>
      <c r="L1062">
        <v>89250</v>
      </c>
      <c r="M1062">
        <v>91596.96</v>
      </c>
      <c r="N1062">
        <f t="shared" si="17"/>
        <v>-2346.9600000000064</v>
      </c>
      <c r="O1062" t="s">
        <v>23</v>
      </c>
      <c r="P1062" t="s">
        <v>24</v>
      </c>
      <c r="Q1062" t="s">
        <v>25</v>
      </c>
    </row>
    <row r="1063" spans="1:17" x14ac:dyDescent="0.3">
      <c r="A1063" t="s">
        <v>1141</v>
      </c>
      <c r="B1063" s="1">
        <v>45381</v>
      </c>
      <c r="C1063" t="s">
        <v>53</v>
      </c>
      <c r="D1063" t="s">
        <v>27</v>
      </c>
      <c r="E1063" t="s">
        <v>42</v>
      </c>
      <c r="F1063" t="s">
        <v>29</v>
      </c>
      <c r="G1063" t="s">
        <v>43</v>
      </c>
      <c r="H1063">
        <v>500</v>
      </c>
      <c r="I1063">
        <v>14</v>
      </c>
      <c r="J1063">
        <v>15</v>
      </c>
      <c r="K1063">
        <v>5</v>
      </c>
      <c r="L1063">
        <v>5950</v>
      </c>
      <c r="M1063">
        <v>5901.99</v>
      </c>
      <c r="N1063">
        <f t="shared" si="17"/>
        <v>48.010000000000218</v>
      </c>
      <c r="O1063" t="s">
        <v>23</v>
      </c>
      <c r="P1063" t="s">
        <v>31</v>
      </c>
      <c r="Q1063" t="s">
        <v>32</v>
      </c>
    </row>
    <row r="1064" spans="1:17" x14ac:dyDescent="0.3">
      <c r="A1064" t="s">
        <v>1142</v>
      </c>
      <c r="B1064" s="1">
        <v>45454</v>
      </c>
      <c r="C1064" t="s">
        <v>18</v>
      </c>
      <c r="D1064" t="s">
        <v>41</v>
      </c>
      <c r="E1064" t="s">
        <v>81</v>
      </c>
      <c r="F1064" t="s">
        <v>21</v>
      </c>
      <c r="G1064" t="s">
        <v>82</v>
      </c>
      <c r="H1064">
        <v>8000</v>
      </c>
      <c r="I1064">
        <v>2</v>
      </c>
      <c r="J1064">
        <v>15</v>
      </c>
      <c r="K1064">
        <v>5</v>
      </c>
      <c r="L1064">
        <v>13600</v>
      </c>
      <c r="M1064">
        <v>13170.22</v>
      </c>
      <c r="N1064">
        <f t="shared" si="17"/>
        <v>429.78000000000065</v>
      </c>
      <c r="O1064" t="s">
        <v>23</v>
      </c>
      <c r="P1064" t="s">
        <v>31</v>
      </c>
      <c r="Q1064" t="s">
        <v>32</v>
      </c>
    </row>
    <row r="1065" spans="1:17" x14ac:dyDescent="0.3">
      <c r="A1065" t="s">
        <v>1143</v>
      </c>
      <c r="B1065" s="1">
        <v>45367</v>
      </c>
      <c r="C1065" t="s">
        <v>53</v>
      </c>
      <c r="D1065" t="s">
        <v>19</v>
      </c>
      <c r="E1065" t="s">
        <v>75</v>
      </c>
      <c r="F1065" t="s">
        <v>76</v>
      </c>
      <c r="G1065" t="s">
        <v>77</v>
      </c>
      <c r="H1065">
        <v>8000</v>
      </c>
      <c r="I1065">
        <v>14</v>
      </c>
      <c r="J1065">
        <v>5</v>
      </c>
      <c r="K1065">
        <v>15</v>
      </c>
      <c r="L1065">
        <v>106400</v>
      </c>
      <c r="M1065">
        <v>96628</v>
      </c>
      <c r="N1065">
        <f t="shared" si="17"/>
        <v>9772</v>
      </c>
      <c r="O1065" t="s">
        <v>38</v>
      </c>
      <c r="P1065" t="s">
        <v>31</v>
      </c>
      <c r="Q1065" t="s">
        <v>39</v>
      </c>
    </row>
    <row r="1066" spans="1:17" x14ac:dyDescent="0.3">
      <c r="A1066" t="s">
        <v>1144</v>
      </c>
      <c r="B1066" s="1">
        <v>45457</v>
      </c>
      <c r="C1066" t="s">
        <v>49</v>
      </c>
      <c r="D1066" t="s">
        <v>19</v>
      </c>
      <c r="E1066" t="s">
        <v>63</v>
      </c>
      <c r="F1066" t="s">
        <v>64</v>
      </c>
      <c r="G1066" t="s">
        <v>65</v>
      </c>
      <c r="H1066">
        <v>4000</v>
      </c>
      <c r="I1066">
        <v>14</v>
      </c>
      <c r="J1066">
        <v>5</v>
      </c>
      <c r="K1066">
        <v>5</v>
      </c>
      <c r="L1066">
        <v>53200</v>
      </c>
      <c r="M1066">
        <v>47908.92</v>
      </c>
      <c r="N1066">
        <f t="shared" si="17"/>
        <v>5291.0800000000017</v>
      </c>
      <c r="O1066" t="s">
        <v>23</v>
      </c>
      <c r="P1066" t="s">
        <v>31</v>
      </c>
      <c r="Q1066" t="s">
        <v>32</v>
      </c>
    </row>
    <row r="1067" spans="1:17" x14ac:dyDescent="0.3">
      <c r="A1067" t="s">
        <v>1145</v>
      </c>
      <c r="B1067" s="1">
        <v>45401</v>
      </c>
      <c r="C1067" t="s">
        <v>49</v>
      </c>
      <c r="D1067" t="s">
        <v>19</v>
      </c>
      <c r="E1067" t="s">
        <v>36</v>
      </c>
      <c r="F1067" t="s">
        <v>29</v>
      </c>
      <c r="G1067" t="s">
        <v>37</v>
      </c>
      <c r="H1067">
        <v>1200</v>
      </c>
      <c r="I1067">
        <v>15</v>
      </c>
      <c r="J1067">
        <v>5</v>
      </c>
      <c r="K1067">
        <v>5</v>
      </c>
      <c r="L1067">
        <v>17100</v>
      </c>
      <c r="M1067">
        <v>17055.13</v>
      </c>
      <c r="N1067">
        <f t="shared" si="17"/>
        <v>44.869999999998981</v>
      </c>
      <c r="O1067" t="s">
        <v>23</v>
      </c>
      <c r="P1067" t="s">
        <v>31</v>
      </c>
      <c r="Q1067" t="s">
        <v>32</v>
      </c>
    </row>
    <row r="1068" spans="1:17" x14ac:dyDescent="0.3">
      <c r="A1068" t="s">
        <v>1146</v>
      </c>
      <c r="B1068" s="1">
        <v>45358</v>
      </c>
      <c r="C1068" t="s">
        <v>53</v>
      </c>
      <c r="D1068" t="s">
        <v>19</v>
      </c>
      <c r="E1068" t="s">
        <v>63</v>
      </c>
      <c r="F1068" t="s">
        <v>64</v>
      </c>
      <c r="G1068" t="s">
        <v>65</v>
      </c>
      <c r="H1068">
        <v>4000</v>
      </c>
      <c r="I1068">
        <v>1</v>
      </c>
      <c r="J1068">
        <v>10</v>
      </c>
      <c r="K1068">
        <v>10</v>
      </c>
      <c r="L1068">
        <v>3600</v>
      </c>
      <c r="M1068">
        <v>3186.55</v>
      </c>
      <c r="N1068">
        <f t="shared" si="17"/>
        <v>413.44999999999982</v>
      </c>
      <c r="O1068" t="s">
        <v>23</v>
      </c>
      <c r="P1068" t="s">
        <v>31</v>
      </c>
      <c r="Q1068" t="s">
        <v>32</v>
      </c>
    </row>
    <row r="1069" spans="1:17" x14ac:dyDescent="0.3">
      <c r="A1069" t="s">
        <v>1147</v>
      </c>
      <c r="B1069" s="1">
        <v>45441</v>
      </c>
      <c r="C1069" t="s">
        <v>49</v>
      </c>
      <c r="D1069" t="s">
        <v>92</v>
      </c>
      <c r="E1069" t="s">
        <v>100</v>
      </c>
      <c r="F1069" t="s">
        <v>46</v>
      </c>
      <c r="G1069" t="s">
        <v>55</v>
      </c>
      <c r="H1069">
        <v>2500</v>
      </c>
      <c r="I1069">
        <v>8</v>
      </c>
      <c r="J1069">
        <v>10</v>
      </c>
      <c r="K1069">
        <v>10</v>
      </c>
      <c r="L1069">
        <v>18000</v>
      </c>
      <c r="M1069">
        <v>15482.99</v>
      </c>
      <c r="N1069">
        <f t="shared" si="17"/>
        <v>2517.0100000000002</v>
      </c>
      <c r="O1069" t="s">
        <v>23</v>
      </c>
      <c r="P1069" t="s">
        <v>31</v>
      </c>
      <c r="Q1069" t="s">
        <v>32</v>
      </c>
    </row>
    <row r="1070" spans="1:17" x14ac:dyDescent="0.3">
      <c r="A1070" t="s">
        <v>1148</v>
      </c>
      <c r="B1070" s="1">
        <v>45347</v>
      </c>
      <c r="C1070" t="s">
        <v>53</v>
      </c>
      <c r="D1070" t="s">
        <v>92</v>
      </c>
      <c r="E1070" t="s">
        <v>63</v>
      </c>
      <c r="F1070" t="s">
        <v>64</v>
      </c>
      <c r="G1070" t="s">
        <v>65</v>
      </c>
      <c r="H1070">
        <v>4000</v>
      </c>
      <c r="I1070">
        <v>14</v>
      </c>
      <c r="J1070">
        <v>15</v>
      </c>
      <c r="K1070">
        <v>20</v>
      </c>
      <c r="L1070">
        <v>47600</v>
      </c>
      <c r="M1070">
        <v>46666.2</v>
      </c>
      <c r="N1070">
        <f t="shared" si="17"/>
        <v>933.80000000000291</v>
      </c>
      <c r="O1070" t="s">
        <v>38</v>
      </c>
      <c r="P1070" t="s">
        <v>31</v>
      </c>
      <c r="Q1070" t="s">
        <v>39</v>
      </c>
    </row>
    <row r="1071" spans="1:17" x14ac:dyDescent="0.3">
      <c r="A1071" t="s">
        <v>1149</v>
      </c>
      <c r="B1071" s="1">
        <v>45304</v>
      </c>
      <c r="C1071" t="s">
        <v>49</v>
      </c>
      <c r="D1071" t="s">
        <v>19</v>
      </c>
      <c r="E1071" t="s">
        <v>57</v>
      </c>
      <c r="F1071" t="s">
        <v>46</v>
      </c>
      <c r="G1071" t="s">
        <v>58</v>
      </c>
      <c r="H1071">
        <v>18000</v>
      </c>
      <c r="I1071">
        <v>11</v>
      </c>
      <c r="J1071">
        <v>10</v>
      </c>
      <c r="K1071">
        <v>15</v>
      </c>
      <c r="L1071">
        <v>178200</v>
      </c>
      <c r="M1071">
        <v>169304.06</v>
      </c>
      <c r="N1071">
        <f t="shared" si="17"/>
        <v>8895.9400000000023</v>
      </c>
      <c r="O1071" t="s">
        <v>38</v>
      </c>
      <c r="P1071" t="s">
        <v>31</v>
      </c>
      <c r="Q1071" t="s">
        <v>39</v>
      </c>
    </row>
    <row r="1072" spans="1:17" x14ac:dyDescent="0.3">
      <c r="A1072" t="s">
        <v>1150</v>
      </c>
      <c r="B1072" s="1">
        <v>45299</v>
      </c>
      <c r="C1072" t="s">
        <v>53</v>
      </c>
      <c r="D1072" t="s">
        <v>19</v>
      </c>
      <c r="E1072" t="s">
        <v>28</v>
      </c>
      <c r="F1072" t="s">
        <v>29</v>
      </c>
      <c r="G1072" t="s">
        <v>30</v>
      </c>
      <c r="H1072">
        <v>1800</v>
      </c>
      <c r="I1072">
        <v>4</v>
      </c>
      <c r="J1072">
        <v>5</v>
      </c>
      <c r="K1072">
        <v>20</v>
      </c>
      <c r="L1072">
        <v>6840</v>
      </c>
      <c r="M1072">
        <v>6802.76</v>
      </c>
      <c r="N1072">
        <f t="shared" si="17"/>
        <v>37.239999999999782</v>
      </c>
      <c r="O1072" t="s">
        <v>38</v>
      </c>
      <c r="P1072" t="s">
        <v>31</v>
      </c>
      <c r="Q1072" t="s">
        <v>39</v>
      </c>
    </row>
    <row r="1073" spans="1:17" x14ac:dyDescent="0.3">
      <c r="A1073" t="s">
        <v>1151</v>
      </c>
      <c r="B1073" s="1">
        <v>45335</v>
      </c>
      <c r="C1073" t="s">
        <v>49</v>
      </c>
      <c r="D1073" t="s">
        <v>92</v>
      </c>
      <c r="E1073" t="s">
        <v>140</v>
      </c>
      <c r="F1073" t="s">
        <v>141</v>
      </c>
      <c r="G1073" t="s">
        <v>142</v>
      </c>
      <c r="H1073">
        <v>12000</v>
      </c>
      <c r="I1073">
        <v>6</v>
      </c>
      <c r="J1073">
        <v>10</v>
      </c>
      <c r="K1073">
        <v>0</v>
      </c>
      <c r="L1073">
        <v>64800</v>
      </c>
      <c r="M1073">
        <v>59826.080000000002</v>
      </c>
      <c r="N1073">
        <f t="shared" si="17"/>
        <v>4973.9199999999983</v>
      </c>
      <c r="O1073" t="s">
        <v>23</v>
      </c>
      <c r="P1073" t="s">
        <v>31</v>
      </c>
      <c r="Q1073" t="s">
        <v>32</v>
      </c>
    </row>
    <row r="1074" spans="1:17" x14ac:dyDescent="0.3">
      <c r="A1074" t="s">
        <v>1152</v>
      </c>
      <c r="B1074" s="1">
        <v>45292</v>
      </c>
      <c r="C1074" t="s">
        <v>53</v>
      </c>
      <c r="D1074" t="s">
        <v>35</v>
      </c>
      <c r="E1074" t="s">
        <v>61</v>
      </c>
      <c r="F1074" t="s">
        <v>29</v>
      </c>
      <c r="G1074" t="s">
        <v>43</v>
      </c>
      <c r="H1074">
        <v>2800</v>
      </c>
      <c r="I1074">
        <v>8</v>
      </c>
      <c r="J1074">
        <v>10</v>
      </c>
      <c r="K1074">
        <v>0</v>
      </c>
      <c r="L1074">
        <v>20160</v>
      </c>
      <c r="M1074">
        <v>19874.18</v>
      </c>
      <c r="N1074">
        <f t="shared" si="17"/>
        <v>285.81999999999971</v>
      </c>
      <c r="O1074" t="s">
        <v>23</v>
      </c>
      <c r="P1074" t="s">
        <v>31</v>
      </c>
      <c r="Q1074" t="s">
        <v>32</v>
      </c>
    </row>
    <row r="1075" spans="1:17" x14ac:dyDescent="0.3">
      <c r="A1075" t="s">
        <v>1153</v>
      </c>
      <c r="B1075" s="1">
        <v>45453</v>
      </c>
      <c r="C1075" t="s">
        <v>49</v>
      </c>
      <c r="D1075" t="s">
        <v>35</v>
      </c>
      <c r="E1075" t="s">
        <v>75</v>
      </c>
      <c r="F1075" t="s">
        <v>76</v>
      </c>
      <c r="G1075" t="s">
        <v>77</v>
      </c>
      <c r="H1075">
        <v>8000</v>
      </c>
      <c r="I1075">
        <v>12</v>
      </c>
      <c r="J1075">
        <v>5</v>
      </c>
      <c r="K1075">
        <v>5</v>
      </c>
      <c r="L1075">
        <v>91200</v>
      </c>
      <c r="M1075">
        <v>90578.41</v>
      </c>
      <c r="N1075">
        <f t="shared" si="17"/>
        <v>621.58999999999651</v>
      </c>
      <c r="O1075" t="s">
        <v>23</v>
      </c>
      <c r="P1075" t="s">
        <v>31</v>
      </c>
      <c r="Q1075" t="s">
        <v>32</v>
      </c>
    </row>
    <row r="1076" spans="1:17" x14ac:dyDescent="0.3">
      <c r="A1076" t="s">
        <v>1154</v>
      </c>
      <c r="B1076" s="1">
        <v>45327</v>
      </c>
      <c r="C1076" t="s">
        <v>18</v>
      </c>
      <c r="D1076" t="s">
        <v>41</v>
      </c>
      <c r="E1076" t="s">
        <v>71</v>
      </c>
      <c r="F1076" t="s">
        <v>21</v>
      </c>
      <c r="G1076" t="s">
        <v>72</v>
      </c>
      <c r="H1076">
        <v>60000</v>
      </c>
      <c r="I1076">
        <v>2</v>
      </c>
      <c r="J1076">
        <v>5</v>
      </c>
      <c r="K1076">
        <v>20</v>
      </c>
      <c r="L1076">
        <v>114000</v>
      </c>
      <c r="M1076">
        <v>104958.9</v>
      </c>
      <c r="N1076">
        <f t="shared" si="17"/>
        <v>9041.1000000000058</v>
      </c>
      <c r="O1076" t="s">
        <v>38</v>
      </c>
      <c r="P1076" t="s">
        <v>31</v>
      </c>
      <c r="Q1076" t="s">
        <v>39</v>
      </c>
    </row>
    <row r="1077" spans="1:17" x14ac:dyDescent="0.3">
      <c r="A1077" t="s">
        <v>1155</v>
      </c>
      <c r="B1077" s="1">
        <v>45387</v>
      </c>
      <c r="C1077" t="s">
        <v>53</v>
      </c>
      <c r="D1077" t="s">
        <v>70</v>
      </c>
      <c r="E1077" t="s">
        <v>20</v>
      </c>
      <c r="F1077" t="s">
        <v>21</v>
      </c>
      <c r="G1077" t="s">
        <v>22</v>
      </c>
      <c r="H1077">
        <v>6000</v>
      </c>
      <c r="I1077">
        <v>7</v>
      </c>
      <c r="J1077">
        <v>15</v>
      </c>
      <c r="K1077">
        <v>25</v>
      </c>
      <c r="L1077">
        <v>35700</v>
      </c>
      <c r="M1077">
        <v>30565.85</v>
      </c>
      <c r="N1077">
        <f t="shared" si="17"/>
        <v>5134.1500000000015</v>
      </c>
      <c r="O1077" t="s">
        <v>38</v>
      </c>
      <c r="P1077" t="s">
        <v>31</v>
      </c>
      <c r="Q1077" t="s">
        <v>39</v>
      </c>
    </row>
    <row r="1078" spans="1:17" x14ac:dyDescent="0.3">
      <c r="A1078" t="s">
        <v>1156</v>
      </c>
      <c r="B1078" s="1">
        <v>45401</v>
      </c>
      <c r="C1078" t="s">
        <v>53</v>
      </c>
      <c r="D1078" t="s">
        <v>35</v>
      </c>
      <c r="E1078" t="s">
        <v>57</v>
      </c>
      <c r="F1078" t="s">
        <v>46</v>
      </c>
      <c r="G1078" t="s">
        <v>58</v>
      </c>
      <c r="H1078">
        <v>18000</v>
      </c>
      <c r="I1078">
        <v>6</v>
      </c>
      <c r="J1078">
        <v>10</v>
      </c>
      <c r="K1078">
        <v>25</v>
      </c>
      <c r="L1078">
        <v>97200</v>
      </c>
      <c r="M1078">
        <v>94781.67</v>
      </c>
      <c r="N1078">
        <f t="shared" si="17"/>
        <v>2418.3300000000017</v>
      </c>
      <c r="O1078" t="s">
        <v>38</v>
      </c>
      <c r="P1078" t="s">
        <v>31</v>
      </c>
      <c r="Q1078" t="s">
        <v>39</v>
      </c>
    </row>
    <row r="1079" spans="1:17" x14ac:dyDescent="0.3">
      <c r="A1079" t="s">
        <v>1157</v>
      </c>
      <c r="B1079" s="1">
        <v>45315</v>
      </c>
      <c r="C1079" t="s">
        <v>53</v>
      </c>
      <c r="D1079" t="s">
        <v>41</v>
      </c>
      <c r="E1079" t="s">
        <v>36</v>
      </c>
      <c r="F1079" t="s">
        <v>29</v>
      </c>
      <c r="G1079" t="s">
        <v>37</v>
      </c>
      <c r="H1079">
        <v>1200</v>
      </c>
      <c r="I1079">
        <v>3</v>
      </c>
      <c r="J1079">
        <v>15</v>
      </c>
      <c r="K1079">
        <v>20</v>
      </c>
      <c r="L1079">
        <v>3060</v>
      </c>
      <c r="M1079">
        <v>2754.36</v>
      </c>
      <c r="N1079">
        <f t="shared" si="17"/>
        <v>305.63999999999987</v>
      </c>
      <c r="O1079" t="s">
        <v>38</v>
      </c>
      <c r="P1079" t="s">
        <v>31</v>
      </c>
      <c r="Q1079" t="s">
        <v>39</v>
      </c>
    </row>
    <row r="1080" spans="1:17" x14ac:dyDescent="0.3">
      <c r="A1080" t="s">
        <v>1158</v>
      </c>
      <c r="B1080" s="1">
        <v>45471</v>
      </c>
      <c r="C1080" t="s">
        <v>49</v>
      </c>
      <c r="D1080" t="s">
        <v>35</v>
      </c>
      <c r="E1080" t="s">
        <v>28</v>
      </c>
      <c r="F1080" t="s">
        <v>29</v>
      </c>
      <c r="G1080" t="s">
        <v>30</v>
      </c>
      <c r="H1080">
        <v>1800</v>
      </c>
      <c r="I1080">
        <v>12</v>
      </c>
      <c r="J1080">
        <v>10</v>
      </c>
      <c r="K1080">
        <v>25</v>
      </c>
      <c r="L1080">
        <v>19440</v>
      </c>
      <c r="M1080">
        <v>18619.060000000001</v>
      </c>
      <c r="N1080">
        <f t="shared" si="17"/>
        <v>820.93999999999869</v>
      </c>
      <c r="O1080" t="s">
        <v>38</v>
      </c>
      <c r="P1080" t="s">
        <v>31</v>
      </c>
      <c r="Q1080" t="s">
        <v>39</v>
      </c>
    </row>
    <row r="1081" spans="1:17" x14ac:dyDescent="0.3">
      <c r="A1081" t="s">
        <v>1159</v>
      </c>
      <c r="B1081" s="1">
        <v>45324</v>
      </c>
      <c r="C1081" t="s">
        <v>53</v>
      </c>
      <c r="D1081" t="s">
        <v>35</v>
      </c>
      <c r="E1081" t="s">
        <v>151</v>
      </c>
      <c r="F1081" t="s">
        <v>141</v>
      </c>
      <c r="G1081" t="s">
        <v>142</v>
      </c>
      <c r="H1081">
        <v>3500</v>
      </c>
      <c r="I1081">
        <v>15</v>
      </c>
      <c r="J1081">
        <v>10</v>
      </c>
      <c r="K1081">
        <v>0</v>
      </c>
      <c r="L1081">
        <v>47250</v>
      </c>
      <c r="M1081">
        <v>41059.89</v>
      </c>
      <c r="N1081">
        <f t="shared" si="17"/>
        <v>6190.1100000000006</v>
      </c>
      <c r="O1081" t="s">
        <v>23</v>
      </c>
      <c r="P1081" t="s">
        <v>31</v>
      </c>
      <c r="Q1081" t="s">
        <v>32</v>
      </c>
    </row>
    <row r="1082" spans="1:17" x14ac:dyDescent="0.3">
      <c r="A1082" t="s">
        <v>1160</v>
      </c>
      <c r="B1082" s="1">
        <v>45420</v>
      </c>
      <c r="C1082" t="s">
        <v>34</v>
      </c>
      <c r="D1082" t="s">
        <v>35</v>
      </c>
      <c r="E1082" t="s">
        <v>155</v>
      </c>
      <c r="F1082" t="s">
        <v>21</v>
      </c>
      <c r="G1082" t="s">
        <v>72</v>
      </c>
      <c r="H1082">
        <v>35000</v>
      </c>
      <c r="I1082">
        <v>1</v>
      </c>
      <c r="J1082">
        <v>5</v>
      </c>
      <c r="K1082">
        <v>25</v>
      </c>
      <c r="L1082">
        <v>33250</v>
      </c>
      <c r="M1082">
        <v>29709.79</v>
      </c>
      <c r="N1082">
        <f t="shared" si="17"/>
        <v>3540.2099999999991</v>
      </c>
      <c r="O1082" t="s">
        <v>38</v>
      </c>
      <c r="P1082" t="s">
        <v>31</v>
      </c>
      <c r="Q1082" t="s">
        <v>39</v>
      </c>
    </row>
    <row r="1083" spans="1:17" x14ac:dyDescent="0.3">
      <c r="A1083" t="s">
        <v>1161</v>
      </c>
      <c r="B1083" s="1">
        <v>45428</v>
      </c>
      <c r="C1083" t="s">
        <v>53</v>
      </c>
      <c r="D1083" t="s">
        <v>35</v>
      </c>
      <c r="E1083" t="s">
        <v>50</v>
      </c>
      <c r="F1083" t="s">
        <v>21</v>
      </c>
      <c r="G1083" t="s">
        <v>51</v>
      </c>
      <c r="H1083">
        <v>4500</v>
      </c>
      <c r="I1083">
        <v>3</v>
      </c>
      <c r="J1083">
        <v>5</v>
      </c>
      <c r="K1083">
        <v>10</v>
      </c>
      <c r="L1083">
        <v>12825</v>
      </c>
      <c r="M1083">
        <v>12871.56</v>
      </c>
      <c r="N1083">
        <f t="shared" si="17"/>
        <v>-46.559999999999491</v>
      </c>
      <c r="O1083" t="s">
        <v>38</v>
      </c>
      <c r="P1083" t="s">
        <v>24</v>
      </c>
      <c r="Q1083" t="s">
        <v>39</v>
      </c>
    </row>
    <row r="1084" spans="1:17" x14ac:dyDescent="0.3">
      <c r="A1084" t="s">
        <v>1162</v>
      </c>
      <c r="B1084" s="1">
        <v>45358</v>
      </c>
      <c r="C1084" t="s">
        <v>53</v>
      </c>
      <c r="D1084" t="s">
        <v>41</v>
      </c>
      <c r="E1084" t="s">
        <v>57</v>
      </c>
      <c r="F1084" t="s">
        <v>46</v>
      </c>
      <c r="G1084" t="s">
        <v>58</v>
      </c>
      <c r="H1084">
        <v>18000</v>
      </c>
      <c r="I1084">
        <v>13</v>
      </c>
      <c r="J1084">
        <v>15</v>
      </c>
      <c r="K1084">
        <v>0</v>
      </c>
      <c r="L1084">
        <v>198900</v>
      </c>
      <c r="M1084">
        <v>197826.04</v>
      </c>
      <c r="N1084">
        <f t="shared" si="17"/>
        <v>1073.9599999999919</v>
      </c>
      <c r="O1084" t="s">
        <v>23</v>
      </c>
      <c r="P1084" t="s">
        <v>31</v>
      </c>
      <c r="Q1084" t="s">
        <v>32</v>
      </c>
    </row>
    <row r="1085" spans="1:17" x14ac:dyDescent="0.3">
      <c r="A1085" t="s">
        <v>1163</v>
      </c>
      <c r="B1085" s="1">
        <v>45348</v>
      </c>
      <c r="C1085" t="s">
        <v>34</v>
      </c>
      <c r="D1085" t="s">
        <v>41</v>
      </c>
      <c r="E1085" t="s">
        <v>155</v>
      </c>
      <c r="F1085" t="s">
        <v>21</v>
      </c>
      <c r="G1085" t="s">
        <v>72</v>
      </c>
      <c r="H1085">
        <v>35000</v>
      </c>
      <c r="I1085">
        <v>1</v>
      </c>
      <c r="J1085">
        <v>15</v>
      </c>
      <c r="K1085">
        <v>0</v>
      </c>
      <c r="L1085">
        <v>29750</v>
      </c>
      <c r="M1085">
        <v>26683.39</v>
      </c>
      <c r="N1085">
        <f t="shared" si="17"/>
        <v>3066.6100000000006</v>
      </c>
      <c r="O1085" t="s">
        <v>23</v>
      </c>
      <c r="P1085" t="s">
        <v>31</v>
      </c>
      <c r="Q1085" t="s">
        <v>32</v>
      </c>
    </row>
    <row r="1086" spans="1:17" x14ac:dyDescent="0.3">
      <c r="A1086" t="s">
        <v>1164</v>
      </c>
      <c r="B1086" s="1">
        <v>45435</v>
      </c>
      <c r="C1086" t="s">
        <v>53</v>
      </c>
      <c r="D1086" t="s">
        <v>41</v>
      </c>
      <c r="E1086" t="s">
        <v>75</v>
      </c>
      <c r="F1086" t="s">
        <v>76</v>
      </c>
      <c r="G1086" t="s">
        <v>77</v>
      </c>
      <c r="H1086">
        <v>8000</v>
      </c>
      <c r="I1086">
        <v>12</v>
      </c>
      <c r="J1086">
        <v>10</v>
      </c>
      <c r="K1086">
        <v>20</v>
      </c>
      <c r="L1086">
        <v>86400</v>
      </c>
      <c r="M1086">
        <v>75548.55</v>
      </c>
      <c r="N1086">
        <f t="shared" si="17"/>
        <v>10851.449999999997</v>
      </c>
      <c r="O1086" t="s">
        <v>38</v>
      </c>
      <c r="P1086" t="s">
        <v>31</v>
      </c>
      <c r="Q1086" t="s">
        <v>39</v>
      </c>
    </row>
    <row r="1087" spans="1:17" x14ac:dyDescent="0.3">
      <c r="A1087" t="s">
        <v>1165</v>
      </c>
      <c r="B1087" s="1">
        <v>45405</v>
      </c>
      <c r="C1087" t="s">
        <v>34</v>
      </c>
      <c r="D1087" t="s">
        <v>27</v>
      </c>
      <c r="E1087" t="s">
        <v>45</v>
      </c>
      <c r="F1087" t="s">
        <v>46</v>
      </c>
      <c r="G1087" t="s">
        <v>47</v>
      </c>
      <c r="H1087">
        <v>15000</v>
      </c>
      <c r="I1087">
        <v>11</v>
      </c>
      <c r="J1087">
        <v>5</v>
      </c>
      <c r="K1087">
        <v>5</v>
      </c>
      <c r="L1087">
        <v>156750</v>
      </c>
      <c r="M1087">
        <v>137059.79</v>
      </c>
      <c r="N1087">
        <f t="shared" si="17"/>
        <v>19690.209999999992</v>
      </c>
      <c r="O1087" t="s">
        <v>23</v>
      </c>
      <c r="P1087" t="s">
        <v>31</v>
      </c>
      <c r="Q1087" t="s">
        <v>32</v>
      </c>
    </row>
    <row r="1088" spans="1:17" x14ac:dyDescent="0.3">
      <c r="A1088" t="s">
        <v>1166</v>
      </c>
      <c r="B1088" s="1">
        <v>45467</v>
      </c>
      <c r="C1088" t="s">
        <v>18</v>
      </c>
      <c r="D1088" t="s">
        <v>19</v>
      </c>
      <c r="E1088" t="s">
        <v>151</v>
      </c>
      <c r="F1088" t="s">
        <v>141</v>
      </c>
      <c r="G1088" t="s">
        <v>142</v>
      </c>
      <c r="H1088">
        <v>3500</v>
      </c>
      <c r="I1088">
        <v>8</v>
      </c>
      <c r="J1088">
        <v>5</v>
      </c>
      <c r="K1088">
        <v>10</v>
      </c>
      <c r="L1088">
        <v>26600</v>
      </c>
      <c r="M1088">
        <v>27273.09</v>
      </c>
      <c r="N1088">
        <f t="shared" si="17"/>
        <v>-673.09000000000015</v>
      </c>
      <c r="O1088" t="s">
        <v>38</v>
      </c>
      <c r="P1088" t="s">
        <v>24</v>
      </c>
      <c r="Q1088" t="s">
        <v>39</v>
      </c>
    </row>
    <row r="1089" spans="1:17" x14ac:dyDescent="0.3">
      <c r="A1089" t="s">
        <v>1167</v>
      </c>
      <c r="B1089" s="1">
        <v>45461</v>
      </c>
      <c r="C1089" t="s">
        <v>53</v>
      </c>
      <c r="D1089" t="s">
        <v>27</v>
      </c>
      <c r="E1089" t="s">
        <v>75</v>
      </c>
      <c r="F1089" t="s">
        <v>76</v>
      </c>
      <c r="G1089" t="s">
        <v>77</v>
      </c>
      <c r="H1089">
        <v>8000</v>
      </c>
      <c r="I1089">
        <v>13</v>
      </c>
      <c r="J1089">
        <v>5</v>
      </c>
      <c r="K1089">
        <v>20</v>
      </c>
      <c r="L1089">
        <v>98800</v>
      </c>
      <c r="M1089">
        <v>100616.91</v>
      </c>
      <c r="N1089">
        <f t="shared" si="17"/>
        <v>-1816.9100000000035</v>
      </c>
      <c r="O1089" t="s">
        <v>38</v>
      </c>
      <c r="P1089" t="s">
        <v>24</v>
      </c>
      <c r="Q1089" t="s">
        <v>39</v>
      </c>
    </row>
    <row r="1090" spans="1:17" x14ac:dyDescent="0.3">
      <c r="A1090" t="s">
        <v>1168</v>
      </c>
      <c r="B1090" s="1">
        <v>45454</v>
      </c>
      <c r="C1090" t="s">
        <v>34</v>
      </c>
      <c r="D1090" t="s">
        <v>70</v>
      </c>
      <c r="E1090" t="s">
        <v>42</v>
      </c>
      <c r="F1090" t="s">
        <v>29</v>
      </c>
      <c r="G1090" t="s">
        <v>43</v>
      </c>
      <c r="H1090">
        <v>500</v>
      </c>
      <c r="I1090">
        <v>10</v>
      </c>
      <c r="J1090">
        <v>10</v>
      </c>
      <c r="K1090">
        <v>20</v>
      </c>
      <c r="L1090">
        <v>4500</v>
      </c>
      <c r="M1090">
        <v>4370.05</v>
      </c>
      <c r="N1090">
        <f t="shared" si="17"/>
        <v>129.94999999999982</v>
      </c>
      <c r="O1090" t="s">
        <v>38</v>
      </c>
      <c r="P1090" t="s">
        <v>31</v>
      </c>
      <c r="Q1090" t="s">
        <v>39</v>
      </c>
    </row>
    <row r="1091" spans="1:17" x14ac:dyDescent="0.3">
      <c r="A1091" t="s">
        <v>1169</v>
      </c>
      <c r="B1091" s="1">
        <v>45433</v>
      </c>
      <c r="C1091" t="s">
        <v>18</v>
      </c>
      <c r="D1091" t="s">
        <v>41</v>
      </c>
      <c r="E1091" t="s">
        <v>61</v>
      </c>
      <c r="F1091" t="s">
        <v>29</v>
      </c>
      <c r="G1091" t="s">
        <v>43</v>
      </c>
      <c r="H1091">
        <v>2800</v>
      </c>
      <c r="I1091">
        <v>7</v>
      </c>
      <c r="J1091">
        <v>10</v>
      </c>
      <c r="K1091">
        <v>10</v>
      </c>
      <c r="L1091">
        <v>17640</v>
      </c>
      <c r="M1091">
        <v>18442.43</v>
      </c>
      <c r="N1091">
        <f t="shared" ref="N1091:N1154" si="18">L1091-M1091</f>
        <v>-802.43000000000029</v>
      </c>
      <c r="O1091" t="s">
        <v>23</v>
      </c>
      <c r="P1091" t="s">
        <v>24</v>
      </c>
      <c r="Q1091" t="s">
        <v>25</v>
      </c>
    </row>
    <row r="1092" spans="1:17" x14ac:dyDescent="0.3">
      <c r="A1092" t="s">
        <v>1170</v>
      </c>
      <c r="B1092" s="1">
        <v>45419</v>
      </c>
      <c r="C1092" t="s">
        <v>34</v>
      </c>
      <c r="D1092" t="s">
        <v>35</v>
      </c>
      <c r="E1092" t="s">
        <v>129</v>
      </c>
      <c r="F1092" t="s">
        <v>21</v>
      </c>
      <c r="G1092" t="s">
        <v>82</v>
      </c>
      <c r="H1092">
        <v>3500</v>
      </c>
      <c r="I1092">
        <v>7</v>
      </c>
      <c r="J1092">
        <v>15</v>
      </c>
      <c r="K1092">
        <v>10</v>
      </c>
      <c r="L1092">
        <v>20825</v>
      </c>
      <c r="M1092">
        <v>19659.5</v>
      </c>
      <c r="N1092">
        <f t="shared" si="18"/>
        <v>1165.5</v>
      </c>
      <c r="O1092" t="s">
        <v>23</v>
      </c>
      <c r="P1092" t="s">
        <v>31</v>
      </c>
      <c r="Q1092" t="s">
        <v>32</v>
      </c>
    </row>
    <row r="1093" spans="1:17" x14ac:dyDescent="0.3">
      <c r="A1093" t="s">
        <v>1171</v>
      </c>
      <c r="B1093" s="1">
        <v>45439</v>
      </c>
      <c r="C1093" t="s">
        <v>18</v>
      </c>
      <c r="D1093" t="s">
        <v>35</v>
      </c>
      <c r="E1093" t="s">
        <v>71</v>
      </c>
      <c r="F1093" t="s">
        <v>21</v>
      </c>
      <c r="G1093" t="s">
        <v>72</v>
      </c>
      <c r="H1093">
        <v>60000</v>
      </c>
      <c r="I1093">
        <v>7</v>
      </c>
      <c r="J1093">
        <v>5</v>
      </c>
      <c r="K1093">
        <v>5</v>
      </c>
      <c r="L1093">
        <v>399000</v>
      </c>
      <c r="M1093">
        <v>359716.16</v>
      </c>
      <c r="N1093">
        <f t="shared" si="18"/>
        <v>39283.840000000026</v>
      </c>
      <c r="O1093" t="s">
        <v>23</v>
      </c>
      <c r="P1093" t="s">
        <v>31</v>
      </c>
      <c r="Q1093" t="s">
        <v>32</v>
      </c>
    </row>
    <row r="1094" spans="1:17" x14ac:dyDescent="0.3">
      <c r="A1094" t="s">
        <v>1172</v>
      </c>
      <c r="B1094" s="1">
        <v>45347</v>
      </c>
      <c r="C1094" t="s">
        <v>53</v>
      </c>
      <c r="D1094" t="s">
        <v>27</v>
      </c>
      <c r="E1094" t="s">
        <v>45</v>
      </c>
      <c r="F1094" t="s">
        <v>46</v>
      </c>
      <c r="G1094" t="s">
        <v>47</v>
      </c>
      <c r="H1094">
        <v>15000</v>
      </c>
      <c r="I1094">
        <v>6</v>
      </c>
      <c r="J1094">
        <v>5</v>
      </c>
      <c r="K1094">
        <v>15</v>
      </c>
      <c r="L1094">
        <v>85500</v>
      </c>
      <c r="M1094">
        <v>73691.75</v>
      </c>
      <c r="N1094">
        <f t="shared" si="18"/>
        <v>11808.25</v>
      </c>
      <c r="O1094" t="s">
        <v>38</v>
      </c>
      <c r="P1094" t="s">
        <v>31</v>
      </c>
      <c r="Q1094" t="s">
        <v>39</v>
      </c>
    </row>
    <row r="1095" spans="1:17" x14ac:dyDescent="0.3">
      <c r="A1095" t="s">
        <v>1173</v>
      </c>
      <c r="B1095" s="1">
        <v>45347</v>
      </c>
      <c r="C1095" t="s">
        <v>34</v>
      </c>
      <c r="D1095" t="s">
        <v>70</v>
      </c>
      <c r="E1095" t="s">
        <v>61</v>
      </c>
      <c r="F1095" t="s">
        <v>29</v>
      </c>
      <c r="G1095" t="s">
        <v>43</v>
      </c>
      <c r="H1095">
        <v>2800</v>
      </c>
      <c r="I1095">
        <v>7</v>
      </c>
      <c r="J1095">
        <v>15</v>
      </c>
      <c r="K1095">
        <v>10</v>
      </c>
      <c r="L1095">
        <v>16660</v>
      </c>
      <c r="M1095">
        <v>17268.61</v>
      </c>
      <c r="N1095">
        <f t="shared" si="18"/>
        <v>-608.61000000000058</v>
      </c>
      <c r="O1095" t="s">
        <v>23</v>
      </c>
      <c r="P1095" t="s">
        <v>24</v>
      </c>
      <c r="Q1095" t="s">
        <v>25</v>
      </c>
    </row>
    <row r="1096" spans="1:17" x14ac:dyDescent="0.3">
      <c r="A1096" t="s">
        <v>1174</v>
      </c>
      <c r="B1096" s="1">
        <v>45344</v>
      </c>
      <c r="C1096" t="s">
        <v>18</v>
      </c>
      <c r="D1096" t="s">
        <v>19</v>
      </c>
      <c r="E1096" t="s">
        <v>129</v>
      </c>
      <c r="F1096" t="s">
        <v>21</v>
      </c>
      <c r="G1096" t="s">
        <v>82</v>
      </c>
      <c r="H1096">
        <v>3500</v>
      </c>
      <c r="I1096">
        <v>13</v>
      </c>
      <c r="J1096">
        <v>15</v>
      </c>
      <c r="K1096">
        <v>10</v>
      </c>
      <c r="L1096">
        <v>38675</v>
      </c>
      <c r="M1096">
        <v>40416.22</v>
      </c>
      <c r="N1096">
        <f t="shared" si="18"/>
        <v>-1741.2200000000012</v>
      </c>
      <c r="O1096" t="s">
        <v>23</v>
      </c>
      <c r="P1096" t="s">
        <v>24</v>
      </c>
      <c r="Q1096" t="s">
        <v>25</v>
      </c>
    </row>
    <row r="1097" spans="1:17" x14ac:dyDescent="0.3">
      <c r="A1097" t="s">
        <v>1175</v>
      </c>
      <c r="B1097" s="1">
        <v>45354</v>
      </c>
      <c r="C1097" t="s">
        <v>18</v>
      </c>
      <c r="D1097" t="s">
        <v>19</v>
      </c>
      <c r="E1097" t="s">
        <v>151</v>
      </c>
      <c r="F1097" t="s">
        <v>141</v>
      </c>
      <c r="G1097" t="s">
        <v>142</v>
      </c>
      <c r="H1097">
        <v>3500</v>
      </c>
      <c r="I1097">
        <v>2</v>
      </c>
      <c r="J1097">
        <v>10</v>
      </c>
      <c r="K1097">
        <v>15</v>
      </c>
      <c r="L1097">
        <v>6300</v>
      </c>
      <c r="M1097">
        <v>6265</v>
      </c>
      <c r="N1097">
        <f t="shared" si="18"/>
        <v>35</v>
      </c>
      <c r="O1097" t="s">
        <v>38</v>
      </c>
      <c r="P1097" t="s">
        <v>31</v>
      </c>
      <c r="Q1097" t="s">
        <v>39</v>
      </c>
    </row>
    <row r="1098" spans="1:17" x14ac:dyDescent="0.3">
      <c r="A1098" t="s">
        <v>1176</v>
      </c>
      <c r="B1098" s="1">
        <v>45392</v>
      </c>
      <c r="C1098" t="s">
        <v>49</v>
      </c>
      <c r="D1098" t="s">
        <v>19</v>
      </c>
      <c r="E1098" t="s">
        <v>90</v>
      </c>
      <c r="F1098" t="s">
        <v>29</v>
      </c>
      <c r="G1098" t="s">
        <v>37</v>
      </c>
      <c r="H1098">
        <v>6500</v>
      </c>
      <c r="I1098">
        <v>3</v>
      </c>
      <c r="J1098">
        <v>10</v>
      </c>
      <c r="K1098">
        <v>0</v>
      </c>
      <c r="L1098">
        <v>17550</v>
      </c>
      <c r="M1098">
        <v>15320.74</v>
      </c>
      <c r="N1098">
        <f t="shared" si="18"/>
        <v>2229.2600000000002</v>
      </c>
      <c r="O1098" t="s">
        <v>23</v>
      </c>
      <c r="P1098" t="s">
        <v>31</v>
      </c>
      <c r="Q1098" t="s">
        <v>32</v>
      </c>
    </row>
    <row r="1099" spans="1:17" x14ac:dyDescent="0.3">
      <c r="A1099" t="s">
        <v>1177</v>
      </c>
      <c r="B1099" s="1">
        <v>45366</v>
      </c>
      <c r="C1099" t="s">
        <v>34</v>
      </c>
      <c r="D1099" t="s">
        <v>70</v>
      </c>
      <c r="E1099" t="s">
        <v>90</v>
      </c>
      <c r="F1099" t="s">
        <v>29</v>
      </c>
      <c r="G1099" t="s">
        <v>37</v>
      </c>
      <c r="H1099">
        <v>6500</v>
      </c>
      <c r="I1099">
        <v>15</v>
      </c>
      <c r="J1099">
        <v>5</v>
      </c>
      <c r="K1099">
        <v>5</v>
      </c>
      <c r="L1099">
        <v>92625</v>
      </c>
      <c r="M1099">
        <v>97043.66</v>
      </c>
      <c r="N1099">
        <f t="shared" si="18"/>
        <v>-4418.6600000000035</v>
      </c>
      <c r="O1099" t="s">
        <v>23</v>
      </c>
      <c r="P1099" t="s">
        <v>24</v>
      </c>
      <c r="Q1099" t="s">
        <v>25</v>
      </c>
    </row>
    <row r="1100" spans="1:17" x14ac:dyDescent="0.3">
      <c r="A1100" t="s">
        <v>1178</v>
      </c>
      <c r="B1100" s="1">
        <v>45448</v>
      </c>
      <c r="C1100" t="s">
        <v>34</v>
      </c>
      <c r="D1100" t="s">
        <v>27</v>
      </c>
      <c r="E1100" t="s">
        <v>75</v>
      </c>
      <c r="F1100" t="s">
        <v>76</v>
      </c>
      <c r="G1100" t="s">
        <v>77</v>
      </c>
      <c r="H1100">
        <v>8000</v>
      </c>
      <c r="I1100">
        <v>4</v>
      </c>
      <c r="J1100">
        <v>15</v>
      </c>
      <c r="K1100">
        <v>5</v>
      </c>
      <c r="L1100">
        <v>27200</v>
      </c>
      <c r="M1100">
        <v>27817.37</v>
      </c>
      <c r="N1100">
        <f t="shared" si="18"/>
        <v>-617.36999999999898</v>
      </c>
      <c r="O1100" t="s">
        <v>23</v>
      </c>
      <c r="P1100" t="s">
        <v>24</v>
      </c>
      <c r="Q1100" t="s">
        <v>25</v>
      </c>
    </row>
    <row r="1101" spans="1:17" x14ac:dyDescent="0.3">
      <c r="A1101" t="s">
        <v>1179</v>
      </c>
      <c r="B1101" s="1">
        <v>45390</v>
      </c>
      <c r="C1101" t="s">
        <v>49</v>
      </c>
      <c r="D1101" t="s">
        <v>19</v>
      </c>
      <c r="E1101" t="s">
        <v>28</v>
      </c>
      <c r="F1101" t="s">
        <v>29</v>
      </c>
      <c r="G1101" t="s">
        <v>30</v>
      </c>
      <c r="H1101">
        <v>1800</v>
      </c>
      <c r="I1101">
        <v>3</v>
      </c>
      <c r="J1101">
        <v>15</v>
      </c>
      <c r="K1101">
        <v>5</v>
      </c>
      <c r="L1101">
        <v>4590</v>
      </c>
      <c r="M1101">
        <v>3961.09</v>
      </c>
      <c r="N1101">
        <f t="shared" si="18"/>
        <v>628.90999999999985</v>
      </c>
      <c r="O1101" t="s">
        <v>23</v>
      </c>
      <c r="P1101" t="s">
        <v>31</v>
      </c>
      <c r="Q1101" t="s">
        <v>32</v>
      </c>
    </row>
    <row r="1102" spans="1:17" x14ac:dyDescent="0.3">
      <c r="A1102" t="s">
        <v>1180</v>
      </c>
      <c r="B1102" s="1">
        <v>45454</v>
      </c>
      <c r="C1102" t="s">
        <v>49</v>
      </c>
      <c r="D1102" t="s">
        <v>92</v>
      </c>
      <c r="E1102" t="s">
        <v>107</v>
      </c>
      <c r="F1102" t="s">
        <v>108</v>
      </c>
      <c r="G1102" t="s">
        <v>109</v>
      </c>
      <c r="H1102">
        <v>18000</v>
      </c>
      <c r="I1102">
        <v>8</v>
      </c>
      <c r="J1102">
        <v>15</v>
      </c>
      <c r="K1102">
        <v>25</v>
      </c>
      <c r="L1102">
        <v>122400</v>
      </c>
      <c r="M1102">
        <v>109943.25</v>
      </c>
      <c r="N1102">
        <f t="shared" si="18"/>
        <v>12456.75</v>
      </c>
      <c r="O1102" t="s">
        <v>38</v>
      </c>
      <c r="P1102" t="s">
        <v>31</v>
      </c>
      <c r="Q1102" t="s">
        <v>39</v>
      </c>
    </row>
    <row r="1103" spans="1:17" x14ac:dyDescent="0.3">
      <c r="A1103" t="s">
        <v>1181</v>
      </c>
      <c r="B1103" s="1">
        <v>45344</v>
      </c>
      <c r="C1103" t="s">
        <v>18</v>
      </c>
      <c r="D1103" t="s">
        <v>19</v>
      </c>
      <c r="E1103" t="s">
        <v>100</v>
      </c>
      <c r="F1103" t="s">
        <v>46</v>
      </c>
      <c r="G1103" t="s">
        <v>55</v>
      </c>
      <c r="H1103">
        <v>2500</v>
      </c>
      <c r="I1103">
        <v>11</v>
      </c>
      <c r="J1103">
        <v>5</v>
      </c>
      <c r="K1103">
        <v>25</v>
      </c>
      <c r="L1103">
        <v>26125</v>
      </c>
      <c r="M1103">
        <v>26848.79</v>
      </c>
      <c r="N1103">
        <f t="shared" si="18"/>
        <v>-723.79000000000087</v>
      </c>
      <c r="O1103" t="s">
        <v>38</v>
      </c>
      <c r="P1103" t="s">
        <v>24</v>
      </c>
      <c r="Q1103" t="s">
        <v>39</v>
      </c>
    </row>
    <row r="1104" spans="1:17" x14ac:dyDescent="0.3">
      <c r="A1104" t="s">
        <v>1182</v>
      </c>
      <c r="B1104" s="1">
        <v>45298</v>
      </c>
      <c r="C1104" t="s">
        <v>49</v>
      </c>
      <c r="D1104" t="s">
        <v>19</v>
      </c>
      <c r="E1104" t="s">
        <v>20</v>
      </c>
      <c r="F1104" t="s">
        <v>21</v>
      </c>
      <c r="G1104" t="s">
        <v>22</v>
      </c>
      <c r="H1104">
        <v>6000</v>
      </c>
      <c r="I1104">
        <v>13</v>
      </c>
      <c r="J1104">
        <v>10</v>
      </c>
      <c r="K1104">
        <v>25</v>
      </c>
      <c r="L1104">
        <v>70200</v>
      </c>
      <c r="M1104">
        <v>68262.009999999995</v>
      </c>
      <c r="N1104">
        <f t="shared" si="18"/>
        <v>1937.9900000000052</v>
      </c>
      <c r="O1104" t="s">
        <v>38</v>
      </c>
      <c r="P1104" t="s">
        <v>31</v>
      </c>
      <c r="Q1104" t="s">
        <v>39</v>
      </c>
    </row>
    <row r="1105" spans="1:17" x14ac:dyDescent="0.3">
      <c r="A1105" t="s">
        <v>1183</v>
      </c>
      <c r="B1105" s="1">
        <v>45348</v>
      </c>
      <c r="C1105" t="s">
        <v>34</v>
      </c>
      <c r="D1105" t="s">
        <v>92</v>
      </c>
      <c r="E1105" t="s">
        <v>71</v>
      </c>
      <c r="F1105" t="s">
        <v>21</v>
      </c>
      <c r="G1105" t="s">
        <v>72</v>
      </c>
      <c r="H1105">
        <v>60000</v>
      </c>
      <c r="I1105">
        <v>13</v>
      </c>
      <c r="J1105">
        <v>5</v>
      </c>
      <c r="K1105">
        <v>10</v>
      </c>
      <c r="L1105">
        <v>741000</v>
      </c>
      <c r="M1105">
        <v>708540.5</v>
      </c>
      <c r="N1105">
        <f t="shared" si="18"/>
        <v>32459.5</v>
      </c>
      <c r="O1105" t="s">
        <v>38</v>
      </c>
      <c r="P1105" t="s">
        <v>31</v>
      </c>
      <c r="Q1105" t="s">
        <v>39</v>
      </c>
    </row>
    <row r="1106" spans="1:17" x14ac:dyDescent="0.3">
      <c r="A1106" t="s">
        <v>1184</v>
      </c>
      <c r="B1106" s="1">
        <v>45402</v>
      </c>
      <c r="C1106" t="s">
        <v>49</v>
      </c>
      <c r="D1106" t="s">
        <v>35</v>
      </c>
      <c r="E1106" t="s">
        <v>90</v>
      </c>
      <c r="F1106" t="s">
        <v>29</v>
      </c>
      <c r="G1106" t="s">
        <v>37</v>
      </c>
      <c r="H1106">
        <v>6500</v>
      </c>
      <c r="I1106">
        <v>15</v>
      </c>
      <c r="J1106">
        <v>5</v>
      </c>
      <c r="K1106">
        <v>0</v>
      </c>
      <c r="L1106">
        <v>92625</v>
      </c>
      <c r="M1106">
        <v>79207.210000000006</v>
      </c>
      <c r="N1106">
        <f t="shared" si="18"/>
        <v>13417.789999999994</v>
      </c>
      <c r="O1106" t="s">
        <v>23</v>
      </c>
      <c r="P1106" t="s">
        <v>31</v>
      </c>
      <c r="Q1106" t="s">
        <v>32</v>
      </c>
    </row>
    <row r="1107" spans="1:17" x14ac:dyDescent="0.3">
      <c r="A1107" t="s">
        <v>1185</v>
      </c>
      <c r="B1107" s="1">
        <v>45375</v>
      </c>
      <c r="C1107" t="s">
        <v>18</v>
      </c>
      <c r="D1107" t="s">
        <v>92</v>
      </c>
      <c r="E1107" t="s">
        <v>67</v>
      </c>
      <c r="F1107" t="s">
        <v>29</v>
      </c>
      <c r="G1107" t="s">
        <v>68</v>
      </c>
      <c r="H1107">
        <v>1200</v>
      </c>
      <c r="I1107">
        <v>2</v>
      </c>
      <c r="J1107">
        <v>5</v>
      </c>
      <c r="K1107">
        <v>25</v>
      </c>
      <c r="L1107">
        <v>2280</v>
      </c>
      <c r="M1107">
        <v>2324.9699999999998</v>
      </c>
      <c r="N1107">
        <f t="shared" si="18"/>
        <v>-44.9699999999998</v>
      </c>
      <c r="O1107" t="s">
        <v>38</v>
      </c>
      <c r="P1107" t="s">
        <v>24</v>
      </c>
      <c r="Q1107" t="s">
        <v>39</v>
      </c>
    </row>
    <row r="1108" spans="1:17" x14ac:dyDescent="0.3">
      <c r="A1108" t="s">
        <v>1186</v>
      </c>
      <c r="B1108" s="1">
        <v>45356</v>
      </c>
      <c r="C1108" t="s">
        <v>34</v>
      </c>
      <c r="D1108" t="s">
        <v>35</v>
      </c>
      <c r="E1108" t="s">
        <v>100</v>
      </c>
      <c r="F1108" t="s">
        <v>46</v>
      </c>
      <c r="G1108" t="s">
        <v>55</v>
      </c>
      <c r="H1108">
        <v>2500</v>
      </c>
      <c r="I1108">
        <v>2</v>
      </c>
      <c r="J1108">
        <v>15</v>
      </c>
      <c r="K1108">
        <v>15</v>
      </c>
      <c r="L1108">
        <v>4250</v>
      </c>
      <c r="M1108">
        <v>3656.21</v>
      </c>
      <c r="N1108">
        <f t="shared" si="18"/>
        <v>593.79</v>
      </c>
      <c r="O1108" t="s">
        <v>23</v>
      </c>
      <c r="P1108" t="s">
        <v>31</v>
      </c>
      <c r="Q1108" t="s">
        <v>32</v>
      </c>
    </row>
    <row r="1109" spans="1:17" x14ac:dyDescent="0.3">
      <c r="A1109" t="s">
        <v>1187</v>
      </c>
      <c r="B1109" s="1">
        <v>45326</v>
      </c>
      <c r="C1109" t="s">
        <v>49</v>
      </c>
      <c r="D1109" t="s">
        <v>35</v>
      </c>
      <c r="E1109" t="s">
        <v>151</v>
      </c>
      <c r="F1109" t="s">
        <v>141</v>
      </c>
      <c r="G1109" t="s">
        <v>142</v>
      </c>
      <c r="H1109">
        <v>3500</v>
      </c>
      <c r="I1109">
        <v>8</v>
      </c>
      <c r="J1109">
        <v>5</v>
      </c>
      <c r="K1109">
        <v>15</v>
      </c>
      <c r="L1109">
        <v>26600</v>
      </c>
      <c r="M1109">
        <v>24702.71</v>
      </c>
      <c r="N1109">
        <f t="shared" si="18"/>
        <v>1897.2900000000009</v>
      </c>
      <c r="O1109" t="s">
        <v>38</v>
      </c>
      <c r="P1109" t="s">
        <v>31</v>
      </c>
      <c r="Q1109" t="s">
        <v>39</v>
      </c>
    </row>
    <row r="1110" spans="1:17" x14ac:dyDescent="0.3">
      <c r="A1110" t="s">
        <v>1188</v>
      </c>
      <c r="B1110" s="1">
        <v>45393</v>
      </c>
      <c r="C1110" t="s">
        <v>49</v>
      </c>
      <c r="D1110" t="s">
        <v>19</v>
      </c>
      <c r="E1110" t="s">
        <v>36</v>
      </c>
      <c r="F1110" t="s">
        <v>29</v>
      </c>
      <c r="G1110" t="s">
        <v>37</v>
      </c>
      <c r="H1110">
        <v>1200</v>
      </c>
      <c r="I1110">
        <v>6</v>
      </c>
      <c r="J1110">
        <v>5</v>
      </c>
      <c r="K1110">
        <v>0</v>
      </c>
      <c r="L1110">
        <v>6840</v>
      </c>
      <c r="M1110">
        <v>6486.52</v>
      </c>
      <c r="N1110">
        <f t="shared" si="18"/>
        <v>353.47999999999956</v>
      </c>
      <c r="O1110" t="s">
        <v>23</v>
      </c>
      <c r="P1110" t="s">
        <v>31</v>
      </c>
      <c r="Q1110" t="s">
        <v>32</v>
      </c>
    </row>
    <row r="1111" spans="1:17" x14ac:dyDescent="0.3">
      <c r="A1111" t="s">
        <v>1189</v>
      </c>
      <c r="B1111" s="1">
        <v>45338</v>
      </c>
      <c r="C1111" t="s">
        <v>34</v>
      </c>
      <c r="D1111" t="s">
        <v>35</v>
      </c>
      <c r="E1111" t="s">
        <v>107</v>
      </c>
      <c r="F1111" t="s">
        <v>108</v>
      </c>
      <c r="G1111" t="s">
        <v>109</v>
      </c>
      <c r="H1111">
        <v>18000</v>
      </c>
      <c r="I1111">
        <v>8</v>
      </c>
      <c r="J1111">
        <v>5</v>
      </c>
      <c r="K1111">
        <v>20</v>
      </c>
      <c r="L1111">
        <v>136800</v>
      </c>
      <c r="M1111">
        <v>131643.13</v>
      </c>
      <c r="N1111">
        <f t="shared" si="18"/>
        <v>5156.8699999999953</v>
      </c>
      <c r="O1111" t="s">
        <v>38</v>
      </c>
      <c r="P1111" t="s">
        <v>31</v>
      </c>
      <c r="Q1111" t="s">
        <v>39</v>
      </c>
    </row>
    <row r="1112" spans="1:17" x14ac:dyDescent="0.3">
      <c r="A1112" t="s">
        <v>1190</v>
      </c>
      <c r="B1112" s="1">
        <v>45366</v>
      </c>
      <c r="C1112" t="s">
        <v>18</v>
      </c>
      <c r="D1112" t="s">
        <v>70</v>
      </c>
      <c r="E1112" t="s">
        <v>107</v>
      </c>
      <c r="F1112" t="s">
        <v>108</v>
      </c>
      <c r="G1112" t="s">
        <v>109</v>
      </c>
      <c r="H1112">
        <v>18000</v>
      </c>
      <c r="I1112">
        <v>11</v>
      </c>
      <c r="J1112">
        <v>10</v>
      </c>
      <c r="K1112">
        <v>20</v>
      </c>
      <c r="L1112">
        <v>178200</v>
      </c>
      <c r="M1112">
        <v>186758.59</v>
      </c>
      <c r="N1112">
        <f t="shared" si="18"/>
        <v>-8558.5899999999965</v>
      </c>
      <c r="O1112" t="s">
        <v>38</v>
      </c>
      <c r="P1112" t="s">
        <v>24</v>
      </c>
      <c r="Q1112" t="s">
        <v>39</v>
      </c>
    </row>
    <row r="1113" spans="1:17" x14ac:dyDescent="0.3">
      <c r="A1113" t="s">
        <v>1191</v>
      </c>
      <c r="B1113" s="1">
        <v>45347</v>
      </c>
      <c r="C1113" t="s">
        <v>49</v>
      </c>
      <c r="D1113" t="s">
        <v>41</v>
      </c>
      <c r="E1113" t="s">
        <v>50</v>
      </c>
      <c r="F1113" t="s">
        <v>21</v>
      </c>
      <c r="G1113" t="s">
        <v>51</v>
      </c>
      <c r="H1113">
        <v>4500</v>
      </c>
      <c r="I1113">
        <v>11</v>
      </c>
      <c r="J1113">
        <v>5</v>
      </c>
      <c r="K1113">
        <v>25</v>
      </c>
      <c r="L1113">
        <v>47025</v>
      </c>
      <c r="M1113">
        <v>44494.79</v>
      </c>
      <c r="N1113">
        <f t="shared" si="18"/>
        <v>2530.2099999999991</v>
      </c>
      <c r="O1113" t="s">
        <v>38</v>
      </c>
      <c r="P1113" t="s">
        <v>31</v>
      </c>
      <c r="Q1113" t="s">
        <v>39</v>
      </c>
    </row>
    <row r="1114" spans="1:17" x14ac:dyDescent="0.3">
      <c r="A1114" t="s">
        <v>1192</v>
      </c>
      <c r="B1114" s="1">
        <v>45455</v>
      </c>
      <c r="C1114" t="s">
        <v>53</v>
      </c>
      <c r="D1114" t="s">
        <v>41</v>
      </c>
      <c r="E1114" t="s">
        <v>50</v>
      </c>
      <c r="F1114" t="s">
        <v>21</v>
      </c>
      <c r="G1114" t="s">
        <v>51</v>
      </c>
      <c r="H1114">
        <v>4500</v>
      </c>
      <c r="I1114">
        <v>9</v>
      </c>
      <c r="J1114">
        <v>10</v>
      </c>
      <c r="K1114">
        <v>20</v>
      </c>
      <c r="L1114">
        <v>36450</v>
      </c>
      <c r="M1114">
        <v>34859.17</v>
      </c>
      <c r="N1114">
        <f t="shared" si="18"/>
        <v>1590.8300000000017</v>
      </c>
      <c r="O1114" t="s">
        <v>38</v>
      </c>
      <c r="P1114" t="s">
        <v>31</v>
      </c>
      <c r="Q1114" t="s">
        <v>39</v>
      </c>
    </row>
    <row r="1115" spans="1:17" x14ac:dyDescent="0.3">
      <c r="A1115" t="s">
        <v>1193</v>
      </c>
      <c r="B1115" s="1">
        <v>45410</v>
      </c>
      <c r="C1115" t="s">
        <v>53</v>
      </c>
      <c r="D1115" t="s">
        <v>19</v>
      </c>
      <c r="E1115" t="s">
        <v>75</v>
      </c>
      <c r="F1115" t="s">
        <v>76</v>
      </c>
      <c r="G1115" t="s">
        <v>77</v>
      </c>
      <c r="H1115">
        <v>8000</v>
      </c>
      <c r="I1115">
        <v>2</v>
      </c>
      <c r="J1115">
        <v>10</v>
      </c>
      <c r="K1115">
        <v>15</v>
      </c>
      <c r="L1115">
        <v>14400</v>
      </c>
      <c r="M1115">
        <v>14489.48</v>
      </c>
      <c r="N1115">
        <f t="shared" si="18"/>
        <v>-89.479999999999563</v>
      </c>
      <c r="O1115" t="s">
        <v>38</v>
      </c>
      <c r="P1115" t="s">
        <v>24</v>
      </c>
      <c r="Q1115" t="s">
        <v>39</v>
      </c>
    </row>
    <row r="1116" spans="1:17" x14ac:dyDescent="0.3">
      <c r="A1116" t="s">
        <v>1194</v>
      </c>
      <c r="B1116" s="1">
        <v>45369</v>
      </c>
      <c r="C1116" t="s">
        <v>18</v>
      </c>
      <c r="D1116" t="s">
        <v>19</v>
      </c>
      <c r="E1116" t="s">
        <v>28</v>
      </c>
      <c r="F1116" t="s">
        <v>29</v>
      </c>
      <c r="G1116" t="s">
        <v>30</v>
      </c>
      <c r="H1116">
        <v>1800</v>
      </c>
      <c r="I1116">
        <v>7</v>
      </c>
      <c r="J1116">
        <v>15</v>
      </c>
      <c r="K1116">
        <v>0</v>
      </c>
      <c r="L1116">
        <v>10710</v>
      </c>
      <c r="M1116">
        <v>9265.1299999999992</v>
      </c>
      <c r="N1116">
        <f t="shared" si="18"/>
        <v>1444.8700000000008</v>
      </c>
      <c r="O1116" t="s">
        <v>23</v>
      </c>
      <c r="P1116" t="s">
        <v>31</v>
      </c>
      <c r="Q1116" t="s">
        <v>32</v>
      </c>
    </row>
    <row r="1117" spans="1:17" x14ac:dyDescent="0.3">
      <c r="A1117" t="s">
        <v>1195</v>
      </c>
      <c r="B1117" s="1">
        <v>45437</v>
      </c>
      <c r="C1117" t="s">
        <v>18</v>
      </c>
      <c r="D1117" t="s">
        <v>35</v>
      </c>
      <c r="E1117" t="s">
        <v>54</v>
      </c>
      <c r="F1117" t="s">
        <v>46</v>
      </c>
      <c r="G1117" t="s">
        <v>55</v>
      </c>
      <c r="H1117">
        <v>4500</v>
      </c>
      <c r="I1117">
        <v>13</v>
      </c>
      <c r="J1117">
        <v>5</v>
      </c>
      <c r="K1117">
        <v>20</v>
      </c>
      <c r="L1117">
        <v>55575</v>
      </c>
      <c r="M1117">
        <v>57313.09</v>
      </c>
      <c r="N1117">
        <f t="shared" si="18"/>
        <v>-1738.0899999999965</v>
      </c>
      <c r="O1117" t="s">
        <v>38</v>
      </c>
      <c r="P1117" t="s">
        <v>24</v>
      </c>
      <c r="Q1117" t="s">
        <v>39</v>
      </c>
    </row>
    <row r="1118" spans="1:17" x14ac:dyDescent="0.3">
      <c r="A1118" t="s">
        <v>1196</v>
      </c>
      <c r="B1118" s="1">
        <v>45441</v>
      </c>
      <c r="C1118" t="s">
        <v>49</v>
      </c>
      <c r="D1118" t="s">
        <v>27</v>
      </c>
      <c r="E1118" t="s">
        <v>81</v>
      </c>
      <c r="F1118" t="s">
        <v>21</v>
      </c>
      <c r="G1118" t="s">
        <v>82</v>
      </c>
      <c r="H1118">
        <v>8000</v>
      </c>
      <c r="I1118">
        <v>12</v>
      </c>
      <c r="J1118">
        <v>15</v>
      </c>
      <c r="K1118">
        <v>20</v>
      </c>
      <c r="L1118">
        <v>81600</v>
      </c>
      <c r="M1118">
        <v>79793.039999999994</v>
      </c>
      <c r="N1118">
        <f t="shared" si="18"/>
        <v>1806.9600000000064</v>
      </c>
      <c r="O1118" t="s">
        <v>38</v>
      </c>
      <c r="P1118" t="s">
        <v>31</v>
      </c>
      <c r="Q1118" t="s">
        <v>39</v>
      </c>
    </row>
    <row r="1119" spans="1:17" x14ac:dyDescent="0.3">
      <c r="A1119" t="s">
        <v>1197</v>
      </c>
      <c r="B1119" s="1">
        <v>45325</v>
      </c>
      <c r="C1119" t="s">
        <v>18</v>
      </c>
      <c r="D1119" t="s">
        <v>92</v>
      </c>
      <c r="E1119" t="s">
        <v>104</v>
      </c>
      <c r="F1119" t="s">
        <v>29</v>
      </c>
      <c r="G1119" t="s">
        <v>30</v>
      </c>
      <c r="H1119">
        <v>1200</v>
      </c>
      <c r="I1119">
        <v>5</v>
      </c>
      <c r="J1119">
        <v>15</v>
      </c>
      <c r="K1119">
        <v>20</v>
      </c>
      <c r="L1119">
        <v>5100</v>
      </c>
      <c r="M1119">
        <v>4478.08</v>
      </c>
      <c r="N1119">
        <f t="shared" si="18"/>
        <v>621.92000000000007</v>
      </c>
      <c r="O1119" t="s">
        <v>38</v>
      </c>
      <c r="P1119" t="s">
        <v>31</v>
      </c>
      <c r="Q1119" t="s">
        <v>39</v>
      </c>
    </row>
    <row r="1120" spans="1:17" x14ac:dyDescent="0.3">
      <c r="A1120" t="s">
        <v>1198</v>
      </c>
      <c r="B1120" s="1">
        <v>45366</v>
      </c>
      <c r="C1120" t="s">
        <v>49</v>
      </c>
      <c r="D1120" t="s">
        <v>41</v>
      </c>
      <c r="E1120" t="s">
        <v>102</v>
      </c>
      <c r="F1120" t="s">
        <v>29</v>
      </c>
      <c r="G1120" t="s">
        <v>43</v>
      </c>
      <c r="H1120">
        <v>1500</v>
      </c>
      <c r="I1120">
        <v>9</v>
      </c>
      <c r="J1120">
        <v>15</v>
      </c>
      <c r="K1120">
        <v>20</v>
      </c>
      <c r="L1120">
        <v>11475</v>
      </c>
      <c r="M1120">
        <v>10946.53</v>
      </c>
      <c r="N1120">
        <f t="shared" si="18"/>
        <v>528.46999999999935</v>
      </c>
      <c r="O1120" t="s">
        <v>38</v>
      </c>
      <c r="P1120" t="s">
        <v>31</v>
      </c>
      <c r="Q1120" t="s">
        <v>39</v>
      </c>
    </row>
    <row r="1121" spans="1:17" x14ac:dyDescent="0.3">
      <c r="A1121" t="s">
        <v>1199</v>
      </c>
      <c r="B1121" s="1">
        <v>45334</v>
      </c>
      <c r="C1121" t="s">
        <v>49</v>
      </c>
      <c r="D1121" t="s">
        <v>70</v>
      </c>
      <c r="E1121" t="s">
        <v>75</v>
      </c>
      <c r="F1121" t="s">
        <v>76</v>
      </c>
      <c r="G1121" t="s">
        <v>77</v>
      </c>
      <c r="H1121">
        <v>8000</v>
      </c>
      <c r="I1121">
        <v>15</v>
      </c>
      <c r="J1121">
        <v>15</v>
      </c>
      <c r="K1121">
        <v>15</v>
      </c>
      <c r="L1121">
        <v>102000</v>
      </c>
      <c r="M1121">
        <v>106553.82</v>
      </c>
      <c r="N1121">
        <f t="shared" si="18"/>
        <v>-4553.820000000007</v>
      </c>
      <c r="O1121" t="s">
        <v>23</v>
      </c>
      <c r="P1121" t="s">
        <v>24</v>
      </c>
      <c r="Q1121" t="s">
        <v>25</v>
      </c>
    </row>
    <row r="1122" spans="1:17" x14ac:dyDescent="0.3">
      <c r="A1122" t="s">
        <v>1200</v>
      </c>
      <c r="B1122" s="1">
        <v>45351</v>
      </c>
      <c r="C1122" t="s">
        <v>53</v>
      </c>
      <c r="D1122" t="s">
        <v>19</v>
      </c>
      <c r="E1122" t="s">
        <v>167</v>
      </c>
      <c r="F1122" t="s">
        <v>21</v>
      </c>
      <c r="G1122" t="s">
        <v>82</v>
      </c>
      <c r="H1122">
        <v>7000</v>
      </c>
      <c r="I1122">
        <v>5</v>
      </c>
      <c r="J1122">
        <v>10</v>
      </c>
      <c r="K1122">
        <v>5</v>
      </c>
      <c r="L1122">
        <v>31500</v>
      </c>
      <c r="M1122">
        <v>28673.82</v>
      </c>
      <c r="N1122">
        <f t="shared" si="18"/>
        <v>2826.1800000000003</v>
      </c>
      <c r="O1122" t="s">
        <v>23</v>
      </c>
      <c r="P1122" t="s">
        <v>31</v>
      </c>
      <c r="Q1122" t="s">
        <v>32</v>
      </c>
    </row>
    <row r="1123" spans="1:17" x14ac:dyDescent="0.3">
      <c r="A1123" t="s">
        <v>1201</v>
      </c>
      <c r="B1123" s="1">
        <v>45299</v>
      </c>
      <c r="C1123" t="s">
        <v>34</v>
      </c>
      <c r="D1123" t="s">
        <v>19</v>
      </c>
      <c r="E1123" t="s">
        <v>155</v>
      </c>
      <c r="F1123" t="s">
        <v>21</v>
      </c>
      <c r="G1123" t="s">
        <v>72</v>
      </c>
      <c r="H1123">
        <v>35000</v>
      </c>
      <c r="I1123">
        <v>7</v>
      </c>
      <c r="J1123">
        <v>10</v>
      </c>
      <c r="K1123">
        <v>20</v>
      </c>
      <c r="L1123">
        <v>220500</v>
      </c>
      <c r="M1123">
        <v>222741.83</v>
      </c>
      <c r="N1123">
        <f t="shared" si="18"/>
        <v>-2241.8299999999872</v>
      </c>
      <c r="O1123" t="s">
        <v>38</v>
      </c>
      <c r="P1123" t="s">
        <v>24</v>
      </c>
      <c r="Q1123" t="s">
        <v>39</v>
      </c>
    </row>
    <row r="1124" spans="1:17" x14ac:dyDescent="0.3">
      <c r="A1124" t="s">
        <v>1202</v>
      </c>
      <c r="B1124" s="1">
        <v>45453</v>
      </c>
      <c r="C1124" t="s">
        <v>34</v>
      </c>
      <c r="D1124" t="s">
        <v>41</v>
      </c>
      <c r="E1124" t="s">
        <v>100</v>
      </c>
      <c r="F1124" t="s">
        <v>46</v>
      </c>
      <c r="G1124" t="s">
        <v>55</v>
      </c>
      <c r="H1124">
        <v>2500</v>
      </c>
      <c r="I1124">
        <v>15</v>
      </c>
      <c r="J1124">
        <v>5</v>
      </c>
      <c r="K1124">
        <v>20</v>
      </c>
      <c r="L1124">
        <v>35625</v>
      </c>
      <c r="M1124">
        <v>34284.769999999997</v>
      </c>
      <c r="N1124">
        <f t="shared" si="18"/>
        <v>1340.2300000000032</v>
      </c>
      <c r="O1124" t="s">
        <v>38</v>
      </c>
      <c r="P1124" t="s">
        <v>31</v>
      </c>
      <c r="Q1124" t="s">
        <v>39</v>
      </c>
    </row>
    <row r="1125" spans="1:17" x14ac:dyDescent="0.3">
      <c r="A1125" t="s">
        <v>1203</v>
      </c>
      <c r="B1125" s="1">
        <v>45401</v>
      </c>
      <c r="C1125" t="s">
        <v>34</v>
      </c>
      <c r="D1125" t="s">
        <v>70</v>
      </c>
      <c r="E1125" t="s">
        <v>102</v>
      </c>
      <c r="F1125" t="s">
        <v>29</v>
      </c>
      <c r="G1125" t="s">
        <v>43</v>
      </c>
      <c r="H1125">
        <v>1500</v>
      </c>
      <c r="I1125">
        <v>4</v>
      </c>
      <c r="J1125">
        <v>15</v>
      </c>
      <c r="K1125">
        <v>10</v>
      </c>
      <c r="L1125">
        <v>5100</v>
      </c>
      <c r="M1125">
        <v>4758.76</v>
      </c>
      <c r="N1125">
        <f t="shared" si="18"/>
        <v>341.23999999999978</v>
      </c>
      <c r="O1125" t="s">
        <v>23</v>
      </c>
      <c r="P1125" t="s">
        <v>31</v>
      </c>
      <c r="Q1125" t="s">
        <v>32</v>
      </c>
    </row>
    <row r="1126" spans="1:17" x14ac:dyDescent="0.3">
      <c r="A1126" t="s">
        <v>1204</v>
      </c>
      <c r="B1126" s="1">
        <v>45397</v>
      </c>
      <c r="C1126" t="s">
        <v>18</v>
      </c>
      <c r="D1126" t="s">
        <v>27</v>
      </c>
      <c r="E1126" t="s">
        <v>20</v>
      </c>
      <c r="F1126" t="s">
        <v>21</v>
      </c>
      <c r="G1126" t="s">
        <v>22</v>
      </c>
      <c r="H1126">
        <v>6000</v>
      </c>
      <c r="I1126">
        <v>13</v>
      </c>
      <c r="J1126">
        <v>15</v>
      </c>
      <c r="K1126">
        <v>5</v>
      </c>
      <c r="L1126">
        <v>66300</v>
      </c>
      <c r="M1126">
        <v>67588.350000000006</v>
      </c>
      <c r="N1126">
        <f t="shared" si="18"/>
        <v>-1288.3500000000058</v>
      </c>
      <c r="O1126" t="s">
        <v>23</v>
      </c>
      <c r="P1126" t="s">
        <v>24</v>
      </c>
      <c r="Q1126" t="s">
        <v>25</v>
      </c>
    </row>
    <row r="1127" spans="1:17" x14ac:dyDescent="0.3">
      <c r="A1127" t="s">
        <v>1205</v>
      </c>
      <c r="B1127" s="1">
        <v>45343</v>
      </c>
      <c r="C1127" t="s">
        <v>34</v>
      </c>
      <c r="D1127" t="s">
        <v>27</v>
      </c>
      <c r="E1127" t="s">
        <v>107</v>
      </c>
      <c r="F1127" t="s">
        <v>108</v>
      </c>
      <c r="G1127" t="s">
        <v>109</v>
      </c>
      <c r="H1127">
        <v>18000</v>
      </c>
      <c r="I1127">
        <v>15</v>
      </c>
      <c r="J1127">
        <v>10</v>
      </c>
      <c r="K1127">
        <v>5</v>
      </c>
      <c r="L1127">
        <v>243000</v>
      </c>
      <c r="M1127">
        <v>230482.91</v>
      </c>
      <c r="N1127">
        <f t="shared" si="18"/>
        <v>12517.089999999997</v>
      </c>
      <c r="O1127" t="s">
        <v>23</v>
      </c>
      <c r="P1127" t="s">
        <v>31</v>
      </c>
      <c r="Q1127" t="s">
        <v>32</v>
      </c>
    </row>
    <row r="1128" spans="1:17" x14ac:dyDescent="0.3">
      <c r="A1128" t="s">
        <v>1206</v>
      </c>
      <c r="B1128" s="1">
        <v>45398</v>
      </c>
      <c r="C1128" t="s">
        <v>34</v>
      </c>
      <c r="D1128" t="s">
        <v>19</v>
      </c>
      <c r="E1128" t="s">
        <v>107</v>
      </c>
      <c r="F1128" t="s">
        <v>108</v>
      </c>
      <c r="G1128" t="s">
        <v>109</v>
      </c>
      <c r="H1128">
        <v>18000</v>
      </c>
      <c r="I1128">
        <v>13</v>
      </c>
      <c r="J1128">
        <v>5</v>
      </c>
      <c r="K1128">
        <v>10</v>
      </c>
      <c r="L1128">
        <v>222300</v>
      </c>
      <c r="M1128">
        <v>218823.95</v>
      </c>
      <c r="N1128">
        <f t="shared" si="18"/>
        <v>3476.0499999999884</v>
      </c>
      <c r="O1128" t="s">
        <v>38</v>
      </c>
      <c r="P1128" t="s">
        <v>31</v>
      </c>
      <c r="Q1128" t="s">
        <v>39</v>
      </c>
    </row>
    <row r="1129" spans="1:17" x14ac:dyDescent="0.3">
      <c r="A1129" t="s">
        <v>1207</v>
      </c>
      <c r="B1129" s="1">
        <v>45403</v>
      </c>
      <c r="C1129" t="s">
        <v>18</v>
      </c>
      <c r="D1129" t="s">
        <v>27</v>
      </c>
      <c r="E1129" t="s">
        <v>42</v>
      </c>
      <c r="F1129" t="s">
        <v>29</v>
      </c>
      <c r="G1129" t="s">
        <v>43</v>
      </c>
      <c r="H1129">
        <v>500</v>
      </c>
      <c r="I1129">
        <v>9</v>
      </c>
      <c r="J1129">
        <v>15</v>
      </c>
      <c r="K1129">
        <v>0</v>
      </c>
      <c r="L1129">
        <v>3825</v>
      </c>
      <c r="M1129">
        <v>3545.61</v>
      </c>
      <c r="N1129">
        <f t="shared" si="18"/>
        <v>279.38999999999987</v>
      </c>
      <c r="O1129" t="s">
        <v>23</v>
      </c>
      <c r="P1129" t="s">
        <v>31</v>
      </c>
      <c r="Q1129" t="s">
        <v>32</v>
      </c>
    </row>
    <row r="1130" spans="1:17" x14ac:dyDescent="0.3">
      <c r="A1130" t="s">
        <v>1208</v>
      </c>
      <c r="B1130" s="1">
        <v>45428</v>
      </c>
      <c r="C1130" t="s">
        <v>34</v>
      </c>
      <c r="D1130" t="s">
        <v>70</v>
      </c>
      <c r="E1130" t="s">
        <v>155</v>
      </c>
      <c r="F1130" t="s">
        <v>21</v>
      </c>
      <c r="G1130" t="s">
        <v>72</v>
      </c>
      <c r="H1130">
        <v>35000</v>
      </c>
      <c r="I1130">
        <v>10</v>
      </c>
      <c r="J1130">
        <v>5</v>
      </c>
      <c r="K1130">
        <v>15</v>
      </c>
      <c r="L1130">
        <v>332500</v>
      </c>
      <c r="M1130">
        <v>288445.53000000003</v>
      </c>
      <c r="N1130">
        <f t="shared" si="18"/>
        <v>44054.469999999972</v>
      </c>
      <c r="O1130" t="s">
        <v>38</v>
      </c>
      <c r="P1130" t="s">
        <v>31</v>
      </c>
      <c r="Q1130" t="s">
        <v>39</v>
      </c>
    </row>
    <row r="1131" spans="1:17" x14ac:dyDescent="0.3">
      <c r="A1131" t="s">
        <v>1209</v>
      </c>
      <c r="B1131" s="1">
        <v>45391</v>
      </c>
      <c r="C1131" t="s">
        <v>49</v>
      </c>
      <c r="D1131" t="s">
        <v>19</v>
      </c>
      <c r="E1131" t="s">
        <v>129</v>
      </c>
      <c r="F1131" t="s">
        <v>21</v>
      </c>
      <c r="G1131" t="s">
        <v>82</v>
      </c>
      <c r="H1131">
        <v>3500</v>
      </c>
      <c r="I1131">
        <v>5</v>
      </c>
      <c r="J1131">
        <v>5</v>
      </c>
      <c r="K1131">
        <v>5</v>
      </c>
      <c r="L1131">
        <v>16625</v>
      </c>
      <c r="M1131">
        <v>16921.939999999999</v>
      </c>
      <c r="N1131">
        <f t="shared" si="18"/>
        <v>-296.93999999999869</v>
      </c>
      <c r="O1131" t="s">
        <v>23</v>
      </c>
      <c r="P1131" t="s">
        <v>24</v>
      </c>
      <c r="Q1131" t="s">
        <v>25</v>
      </c>
    </row>
    <row r="1132" spans="1:17" x14ac:dyDescent="0.3">
      <c r="A1132" t="s">
        <v>1210</v>
      </c>
      <c r="B1132" s="1">
        <v>45443</v>
      </c>
      <c r="C1132" t="s">
        <v>34</v>
      </c>
      <c r="D1132" t="s">
        <v>70</v>
      </c>
      <c r="E1132" t="s">
        <v>20</v>
      </c>
      <c r="F1132" t="s">
        <v>21</v>
      </c>
      <c r="G1132" t="s">
        <v>22</v>
      </c>
      <c r="H1132">
        <v>6000</v>
      </c>
      <c r="I1132">
        <v>11</v>
      </c>
      <c r="J1132">
        <v>10</v>
      </c>
      <c r="K1132">
        <v>25</v>
      </c>
      <c r="L1132">
        <v>59400</v>
      </c>
      <c r="M1132">
        <v>53036.67</v>
      </c>
      <c r="N1132">
        <f t="shared" si="18"/>
        <v>6363.3300000000017</v>
      </c>
      <c r="O1132" t="s">
        <v>38</v>
      </c>
      <c r="P1132" t="s">
        <v>31</v>
      </c>
      <c r="Q1132" t="s">
        <v>39</v>
      </c>
    </row>
    <row r="1133" spans="1:17" x14ac:dyDescent="0.3">
      <c r="A1133" t="s">
        <v>1211</v>
      </c>
      <c r="B1133" s="1">
        <v>45443</v>
      </c>
      <c r="C1133" t="s">
        <v>49</v>
      </c>
      <c r="D1133" t="s">
        <v>35</v>
      </c>
      <c r="E1133" t="s">
        <v>63</v>
      </c>
      <c r="F1133" t="s">
        <v>64</v>
      </c>
      <c r="G1133" t="s">
        <v>65</v>
      </c>
      <c r="H1133">
        <v>4000</v>
      </c>
      <c r="I1133">
        <v>3</v>
      </c>
      <c r="J1133">
        <v>15</v>
      </c>
      <c r="K1133">
        <v>5</v>
      </c>
      <c r="L1133">
        <v>10200</v>
      </c>
      <c r="M1133">
        <v>10514.12</v>
      </c>
      <c r="N1133">
        <f t="shared" si="18"/>
        <v>-314.1200000000008</v>
      </c>
      <c r="O1133" t="s">
        <v>23</v>
      </c>
      <c r="P1133" t="s">
        <v>24</v>
      </c>
      <c r="Q1133" t="s">
        <v>25</v>
      </c>
    </row>
    <row r="1134" spans="1:17" x14ac:dyDescent="0.3">
      <c r="A1134" t="s">
        <v>1212</v>
      </c>
      <c r="B1134" s="1">
        <v>45303</v>
      </c>
      <c r="C1134" t="s">
        <v>18</v>
      </c>
      <c r="D1134" t="s">
        <v>35</v>
      </c>
      <c r="E1134" t="s">
        <v>102</v>
      </c>
      <c r="F1134" t="s">
        <v>29</v>
      </c>
      <c r="G1134" t="s">
        <v>43</v>
      </c>
      <c r="H1134">
        <v>1500</v>
      </c>
      <c r="I1134">
        <v>5</v>
      </c>
      <c r="J1134">
        <v>10</v>
      </c>
      <c r="K1134">
        <v>15</v>
      </c>
      <c r="L1134">
        <v>6750</v>
      </c>
      <c r="M1134">
        <v>5850.88</v>
      </c>
      <c r="N1134">
        <f t="shared" si="18"/>
        <v>899.11999999999989</v>
      </c>
      <c r="O1134" t="s">
        <v>38</v>
      </c>
      <c r="P1134" t="s">
        <v>31</v>
      </c>
      <c r="Q1134" t="s">
        <v>39</v>
      </c>
    </row>
    <row r="1135" spans="1:17" x14ac:dyDescent="0.3">
      <c r="A1135" t="s">
        <v>1213</v>
      </c>
      <c r="B1135" s="1">
        <v>45439</v>
      </c>
      <c r="C1135" t="s">
        <v>49</v>
      </c>
      <c r="D1135" t="s">
        <v>35</v>
      </c>
      <c r="E1135" t="s">
        <v>140</v>
      </c>
      <c r="F1135" t="s">
        <v>141</v>
      </c>
      <c r="G1135" t="s">
        <v>142</v>
      </c>
      <c r="H1135">
        <v>12000</v>
      </c>
      <c r="I1135">
        <v>6</v>
      </c>
      <c r="J1135">
        <v>5</v>
      </c>
      <c r="K1135">
        <v>10</v>
      </c>
      <c r="L1135">
        <v>68400</v>
      </c>
      <c r="M1135">
        <v>65539.42</v>
      </c>
      <c r="N1135">
        <f t="shared" si="18"/>
        <v>2860.5800000000017</v>
      </c>
      <c r="O1135" t="s">
        <v>38</v>
      </c>
      <c r="P1135" t="s">
        <v>31</v>
      </c>
      <c r="Q1135" t="s">
        <v>39</v>
      </c>
    </row>
    <row r="1136" spans="1:17" x14ac:dyDescent="0.3">
      <c r="A1136" t="s">
        <v>1214</v>
      </c>
      <c r="B1136" s="1">
        <v>45330</v>
      </c>
      <c r="C1136" t="s">
        <v>18</v>
      </c>
      <c r="D1136" t="s">
        <v>92</v>
      </c>
      <c r="E1136" t="s">
        <v>50</v>
      </c>
      <c r="F1136" t="s">
        <v>21</v>
      </c>
      <c r="G1136" t="s">
        <v>51</v>
      </c>
      <c r="H1136">
        <v>4500</v>
      </c>
      <c r="I1136">
        <v>7</v>
      </c>
      <c r="J1136">
        <v>15</v>
      </c>
      <c r="K1136">
        <v>20</v>
      </c>
      <c r="L1136">
        <v>26775</v>
      </c>
      <c r="M1136">
        <v>25649.17</v>
      </c>
      <c r="N1136">
        <f t="shared" si="18"/>
        <v>1125.8300000000017</v>
      </c>
      <c r="O1136" t="s">
        <v>38</v>
      </c>
      <c r="P1136" t="s">
        <v>31</v>
      </c>
      <c r="Q1136" t="s">
        <v>39</v>
      </c>
    </row>
    <row r="1137" spans="1:17" x14ac:dyDescent="0.3">
      <c r="A1137" t="s">
        <v>1215</v>
      </c>
      <c r="B1137" s="1">
        <v>45395</v>
      </c>
      <c r="C1137" t="s">
        <v>18</v>
      </c>
      <c r="D1137" t="s">
        <v>27</v>
      </c>
      <c r="E1137" t="s">
        <v>151</v>
      </c>
      <c r="F1137" t="s">
        <v>141</v>
      </c>
      <c r="G1137" t="s">
        <v>142</v>
      </c>
      <c r="H1137">
        <v>3500</v>
      </c>
      <c r="I1137">
        <v>2</v>
      </c>
      <c r="J1137">
        <v>5</v>
      </c>
      <c r="K1137">
        <v>15</v>
      </c>
      <c r="L1137">
        <v>6650</v>
      </c>
      <c r="M1137">
        <v>6486.61</v>
      </c>
      <c r="N1137">
        <f t="shared" si="18"/>
        <v>163.39000000000033</v>
      </c>
      <c r="O1137" t="s">
        <v>38</v>
      </c>
      <c r="P1137" t="s">
        <v>31</v>
      </c>
      <c r="Q1137" t="s">
        <v>39</v>
      </c>
    </row>
    <row r="1138" spans="1:17" x14ac:dyDescent="0.3">
      <c r="A1138" t="s">
        <v>1216</v>
      </c>
      <c r="B1138" s="1">
        <v>45424</v>
      </c>
      <c r="C1138" t="s">
        <v>53</v>
      </c>
      <c r="D1138" t="s">
        <v>41</v>
      </c>
      <c r="E1138" t="s">
        <v>20</v>
      </c>
      <c r="F1138" t="s">
        <v>21</v>
      </c>
      <c r="G1138" t="s">
        <v>22</v>
      </c>
      <c r="H1138">
        <v>6000</v>
      </c>
      <c r="I1138">
        <v>13</v>
      </c>
      <c r="J1138">
        <v>5</v>
      </c>
      <c r="K1138">
        <v>10</v>
      </c>
      <c r="L1138">
        <v>74100</v>
      </c>
      <c r="M1138">
        <v>73183.95</v>
      </c>
      <c r="N1138">
        <f t="shared" si="18"/>
        <v>916.05000000000291</v>
      </c>
      <c r="O1138" t="s">
        <v>38</v>
      </c>
      <c r="P1138" t="s">
        <v>31</v>
      </c>
      <c r="Q1138" t="s">
        <v>39</v>
      </c>
    </row>
    <row r="1139" spans="1:17" x14ac:dyDescent="0.3">
      <c r="A1139" t="s">
        <v>1217</v>
      </c>
      <c r="B1139" s="1">
        <v>45328</v>
      </c>
      <c r="C1139" t="s">
        <v>53</v>
      </c>
      <c r="D1139" t="s">
        <v>27</v>
      </c>
      <c r="E1139" t="s">
        <v>61</v>
      </c>
      <c r="F1139" t="s">
        <v>29</v>
      </c>
      <c r="G1139" t="s">
        <v>43</v>
      </c>
      <c r="H1139">
        <v>2800</v>
      </c>
      <c r="I1139">
        <v>7</v>
      </c>
      <c r="J1139">
        <v>10</v>
      </c>
      <c r="K1139">
        <v>25</v>
      </c>
      <c r="L1139">
        <v>17640</v>
      </c>
      <c r="M1139">
        <v>17303.919999999998</v>
      </c>
      <c r="N1139">
        <f t="shared" si="18"/>
        <v>336.08000000000175</v>
      </c>
      <c r="O1139" t="s">
        <v>38</v>
      </c>
      <c r="P1139" t="s">
        <v>31</v>
      </c>
      <c r="Q1139" t="s">
        <v>39</v>
      </c>
    </row>
    <row r="1140" spans="1:17" x14ac:dyDescent="0.3">
      <c r="A1140" t="s">
        <v>1218</v>
      </c>
      <c r="B1140" s="1">
        <v>45392</v>
      </c>
      <c r="C1140" t="s">
        <v>49</v>
      </c>
      <c r="D1140" t="s">
        <v>27</v>
      </c>
      <c r="E1140" t="s">
        <v>90</v>
      </c>
      <c r="F1140" t="s">
        <v>29</v>
      </c>
      <c r="G1140" t="s">
        <v>37</v>
      </c>
      <c r="H1140">
        <v>6500</v>
      </c>
      <c r="I1140">
        <v>4</v>
      </c>
      <c r="J1140">
        <v>10</v>
      </c>
      <c r="K1140">
        <v>0</v>
      </c>
      <c r="L1140">
        <v>23400</v>
      </c>
      <c r="M1140">
        <v>22315.38</v>
      </c>
      <c r="N1140">
        <f t="shared" si="18"/>
        <v>1084.619999999999</v>
      </c>
      <c r="O1140" t="s">
        <v>23</v>
      </c>
      <c r="P1140" t="s">
        <v>31</v>
      </c>
      <c r="Q1140" t="s">
        <v>32</v>
      </c>
    </row>
    <row r="1141" spans="1:17" x14ac:dyDescent="0.3">
      <c r="A1141" t="s">
        <v>1219</v>
      </c>
      <c r="B1141" s="1">
        <v>45442</v>
      </c>
      <c r="C1141" t="s">
        <v>34</v>
      </c>
      <c r="D1141" t="s">
        <v>19</v>
      </c>
      <c r="E1141" t="s">
        <v>155</v>
      </c>
      <c r="F1141" t="s">
        <v>21</v>
      </c>
      <c r="G1141" t="s">
        <v>72</v>
      </c>
      <c r="H1141">
        <v>35000</v>
      </c>
      <c r="I1141">
        <v>10</v>
      </c>
      <c r="J1141">
        <v>10</v>
      </c>
      <c r="K1141">
        <v>10</v>
      </c>
      <c r="L1141">
        <v>315000</v>
      </c>
      <c r="M1141">
        <v>268975.46999999997</v>
      </c>
      <c r="N1141">
        <f t="shared" si="18"/>
        <v>46024.530000000028</v>
      </c>
      <c r="O1141" t="s">
        <v>23</v>
      </c>
      <c r="P1141" t="s">
        <v>31</v>
      </c>
      <c r="Q1141" t="s">
        <v>32</v>
      </c>
    </row>
    <row r="1142" spans="1:17" x14ac:dyDescent="0.3">
      <c r="A1142" t="s">
        <v>1220</v>
      </c>
      <c r="B1142" s="1">
        <v>45340</v>
      </c>
      <c r="C1142" t="s">
        <v>34</v>
      </c>
      <c r="D1142" t="s">
        <v>19</v>
      </c>
      <c r="E1142" t="s">
        <v>50</v>
      </c>
      <c r="F1142" t="s">
        <v>21</v>
      </c>
      <c r="G1142" t="s">
        <v>51</v>
      </c>
      <c r="H1142">
        <v>4500</v>
      </c>
      <c r="I1142">
        <v>15</v>
      </c>
      <c r="J1142">
        <v>15</v>
      </c>
      <c r="K1142">
        <v>25</v>
      </c>
      <c r="L1142">
        <v>57375</v>
      </c>
      <c r="M1142">
        <v>50644.86</v>
      </c>
      <c r="N1142">
        <f t="shared" si="18"/>
        <v>6730.1399999999994</v>
      </c>
      <c r="O1142" t="s">
        <v>38</v>
      </c>
      <c r="P1142" t="s">
        <v>31</v>
      </c>
      <c r="Q1142" t="s">
        <v>39</v>
      </c>
    </row>
    <row r="1143" spans="1:17" x14ac:dyDescent="0.3">
      <c r="A1143" t="s">
        <v>1221</v>
      </c>
      <c r="B1143" s="1">
        <v>45448</v>
      </c>
      <c r="C1143" t="s">
        <v>34</v>
      </c>
      <c r="D1143" t="s">
        <v>27</v>
      </c>
      <c r="E1143" t="s">
        <v>61</v>
      </c>
      <c r="F1143" t="s">
        <v>29</v>
      </c>
      <c r="G1143" t="s">
        <v>43</v>
      </c>
      <c r="H1143">
        <v>2800</v>
      </c>
      <c r="I1143">
        <v>14</v>
      </c>
      <c r="J1143">
        <v>5</v>
      </c>
      <c r="K1143">
        <v>20</v>
      </c>
      <c r="L1143">
        <v>37240</v>
      </c>
      <c r="M1143">
        <v>37138.68</v>
      </c>
      <c r="N1143">
        <f t="shared" si="18"/>
        <v>101.31999999999971</v>
      </c>
      <c r="O1143" t="s">
        <v>38</v>
      </c>
      <c r="P1143" t="s">
        <v>31</v>
      </c>
      <c r="Q1143" t="s">
        <v>39</v>
      </c>
    </row>
    <row r="1144" spans="1:17" x14ac:dyDescent="0.3">
      <c r="A1144" t="s">
        <v>1222</v>
      </c>
      <c r="B1144" s="1">
        <v>45318</v>
      </c>
      <c r="C1144" t="s">
        <v>34</v>
      </c>
      <c r="D1144" t="s">
        <v>92</v>
      </c>
      <c r="E1144" t="s">
        <v>155</v>
      </c>
      <c r="F1144" t="s">
        <v>21</v>
      </c>
      <c r="G1144" t="s">
        <v>72</v>
      </c>
      <c r="H1144">
        <v>35000</v>
      </c>
      <c r="I1144">
        <v>14</v>
      </c>
      <c r="J1144">
        <v>5</v>
      </c>
      <c r="K1144">
        <v>15</v>
      </c>
      <c r="L1144">
        <v>465500</v>
      </c>
      <c r="M1144">
        <v>481821.61</v>
      </c>
      <c r="N1144">
        <f t="shared" si="18"/>
        <v>-16321.609999999986</v>
      </c>
      <c r="O1144" t="s">
        <v>38</v>
      </c>
      <c r="P1144" t="s">
        <v>24</v>
      </c>
      <c r="Q1144" t="s">
        <v>39</v>
      </c>
    </row>
    <row r="1145" spans="1:17" x14ac:dyDescent="0.3">
      <c r="A1145" t="s">
        <v>1223</v>
      </c>
      <c r="B1145" s="1">
        <v>45403</v>
      </c>
      <c r="C1145" t="s">
        <v>49</v>
      </c>
      <c r="D1145" t="s">
        <v>19</v>
      </c>
      <c r="E1145" t="s">
        <v>54</v>
      </c>
      <c r="F1145" t="s">
        <v>46</v>
      </c>
      <c r="G1145" t="s">
        <v>55</v>
      </c>
      <c r="H1145">
        <v>4500</v>
      </c>
      <c r="I1145">
        <v>3</v>
      </c>
      <c r="J1145">
        <v>15</v>
      </c>
      <c r="K1145">
        <v>10</v>
      </c>
      <c r="L1145">
        <v>11475</v>
      </c>
      <c r="M1145">
        <v>9773.2099999999991</v>
      </c>
      <c r="N1145">
        <f t="shared" si="18"/>
        <v>1701.7900000000009</v>
      </c>
      <c r="O1145" t="s">
        <v>23</v>
      </c>
      <c r="P1145" t="s">
        <v>31</v>
      </c>
      <c r="Q1145" t="s">
        <v>32</v>
      </c>
    </row>
    <row r="1146" spans="1:17" x14ac:dyDescent="0.3">
      <c r="A1146" t="s">
        <v>1224</v>
      </c>
      <c r="B1146" s="1">
        <v>45406</v>
      </c>
      <c r="C1146" t="s">
        <v>49</v>
      </c>
      <c r="D1146" t="s">
        <v>27</v>
      </c>
      <c r="E1146" t="s">
        <v>71</v>
      </c>
      <c r="F1146" t="s">
        <v>21</v>
      </c>
      <c r="G1146" t="s">
        <v>72</v>
      </c>
      <c r="H1146">
        <v>60000</v>
      </c>
      <c r="I1146">
        <v>8</v>
      </c>
      <c r="J1146">
        <v>5</v>
      </c>
      <c r="K1146">
        <v>15</v>
      </c>
      <c r="L1146">
        <v>456000</v>
      </c>
      <c r="M1146">
        <v>415501.09</v>
      </c>
      <c r="N1146">
        <f t="shared" si="18"/>
        <v>40498.909999999974</v>
      </c>
      <c r="O1146" t="s">
        <v>38</v>
      </c>
      <c r="P1146" t="s">
        <v>31</v>
      </c>
      <c r="Q1146" t="s">
        <v>39</v>
      </c>
    </row>
    <row r="1147" spans="1:17" x14ac:dyDescent="0.3">
      <c r="A1147" t="s">
        <v>1225</v>
      </c>
      <c r="B1147" s="1">
        <v>45333</v>
      </c>
      <c r="C1147" t="s">
        <v>18</v>
      </c>
      <c r="D1147" t="s">
        <v>70</v>
      </c>
      <c r="E1147" t="s">
        <v>20</v>
      </c>
      <c r="F1147" t="s">
        <v>21</v>
      </c>
      <c r="G1147" t="s">
        <v>22</v>
      </c>
      <c r="H1147">
        <v>6000</v>
      </c>
      <c r="I1147">
        <v>5</v>
      </c>
      <c r="J1147">
        <v>5</v>
      </c>
      <c r="K1147">
        <v>0</v>
      </c>
      <c r="L1147">
        <v>28500</v>
      </c>
      <c r="M1147">
        <v>24450.23</v>
      </c>
      <c r="N1147">
        <f t="shared" si="18"/>
        <v>4049.7700000000004</v>
      </c>
      <c r="O1147" t="s">
        <v>23</v>
      </c>
      <c r="P1147" t="s">
        <v>31</v>
      </c>
      <c r="Q1147" t="s">
        <v>32</v>
      </c>
    </row>
    <row r="1148" spans="1:17" x14ac:dyDescent="0.3">
      <c r="A1148" t="s">
        <v>1226</v>
      </c>
      <c r="B1148" s="1">
        <v>45380</v>
      </c>
      <c r="C1148" t="s">
        <v>49</v>
      </c>
      <c r="D1148" t="s">
        <v>70</v>
      </c>
      <c r="E1148" t="s">
        <v>107</v>
      </c>
      <c r="F1148" t="s">
        <v>108</v>
      </c>
      <c r="G1148" t="s">
        <v>109</v>
      </c>
      <c r="H1148">
        <v>18000</v>
      </c>
      <c r="I1148">
        <v>15</v>
      </c>
      <c r="J1148">
        <v>5</v>
      </c>
      <c r="K1148">
        <v>10</v>
      </c>
      <c r="L1148">
        <v>256500</v>
      </c>
      <c r="M1148">
        <v>229145.29</v>
      </c>
      <c r="N1148">
        <f t="shared" si="18"/>
        <v>27354.709999999992</v>
      </c>
      <c r="O1148" t="s">
        <v>38</v>
      </c>
      <c r="P1148" t="s">
        <v>31</v>
      </c>
      <c r="Q1148" t="s">
        <v>39</v>
      </c>
    </row>
    <row r="1149" spans="1:17" x14ac:dyDescent="0.3">
      <c r="A1149" t="s">
        <v>1227</v>
      </c>
      <c r="B1149" s="1">
        <v>45411</v>
      </c>
      <c r="C1149" t="s">
        <v>53</v>
      </c>
      <c r="D1149" t="s">
        <v>70</v>
      </c>
      <c r="E1149" t="s">
        <v>63</v>
      </c>
      <c r="F1149" t="s">
        <v>64</v>
      </c>
      <c r="G1149" t="s">
        <v>65</v>
      </c>
      <c r="H1149">
        <v>4000</v>
      </c>
      <c r="I1149">
        <v>15</v>
      </c>
      <c r="J1149">
        <v>5</v>
      </c>
      <c r="K1149">
        <v>5</v>
      </c>
      <c r="L1149">
        <v>57000</v>
      </c>
      <c r="M1149">
        <v>52896.18</v>
      </c>
      <c r="N1149">
        <f t="shared" si="18"/>
        <v>4103.82</v>
      </c>
      <c r="O1149" t="s">
        <v>23</v>
      </c>
      <c r="P1149" t="s">
        <v>31</v>
      </c>
      <c r="Q1149" t="s">
        <v>32</v>
      </c>
    </row>
    <row r="1150" spans="1:17" x14ac:dyDescent="0.3">
      <c r="A1150" t="s">
        <v>1228</v>
      </c>
      <c r="B1150" s="1">
        <v>45307</v>
      </c>
      <c r="C1150" t="s">
        <v>53</v>
      </c>
      <c r="D1150" t="s">
        <v>19</v>
      </c>
      <c r="E1150" t="s">
        <v>42</v>
      </c>
      <c r="F1150" t="s">
        <v>29</v>
      </c>
      <c r="G1150" t="s">
        <v>43</v>
      </c>
      <c r="H1150">
        <v>500</v>
      </c>
      <c r="I1150">
        <v>3</v>
      </c>
      <c r="J1150">
        <v>5</v>
      </c>
      <c r="K1150">
        <v>5</v>
      </c>
      <c r="L1150">
        <v>1425</v>
      </c>
      <c r="M1150">
        <v>1313.45</v>
      </c>
      <c r="N1150">
        <f t="shared" si="18"/>
        <v>111.54999999999995</v>
      </c>
      <c r="O1150" t="s">
        <v>23</v>
      </c>
      <c r="P1150" t="s">
        <v>31</v>
      </c>
      <c r="Q1150" t="s">
        <v>32</v>
      </c>
    </row>
    <row r="1151" spans="1:17" x14ac:dyDescent="0.3">
      <c r="A1151" t="s">
        <v>1229</v>
      </c>
      <c r="B1151" s="1">
        <v>45332</v>
      </c>
      <c r="C1151" t="s">
        <v>18</v>
      </c>
      <c r="D1151" t="s">
        <v>35</v>
      </c>
      <c r="E1151" t="s">
        <v>61</v>
      </c>
      <c r="F1151" t="s">
        <v>29</v>
      </c>
      <c r="G1151" t="s">
        <v>43</v>
      </c>
      <c r="H1151">
        <v>2800</v>
      </c>
      <c r="I1151">
        <v>5</v>
      </c>
      <c r="J1151">
        <v>10</v>
      </c>
      <c r="K1151">
        <v>25</v>
      </c>
      <c r="L1151">
        <v>12600</v>
      </c>
      <c r="M1151">
        <v>11608.36</v>
      </c>
      <c r="N1151">
        <f t="shared" si="18"/>
        <v>991.63999999999942</v>
      </c>
      <c r="O1151" t="s">
        <v>38</v>
      </c>
      <c r="P1151" t="s">
        <v>31</v>
      </c>
      <c r="Q1151" t="s">
        <v>39</v>
      </c>
    </row>
    <row r="1152" spans="1:17" x14ac:dyDescent="0.3">
      <c r="A1152" t="s">
        <v>1230</v>
      </c>
      <c r="B1152" s="1">
        <v>45292</v>
      </c>
      <c r="C1152" t="s">
        <v>18</v>
      </c>
      <c r="D1152" t="s">
        <v>27</v>
      </c>
      <c r="E1152" t="s">
        <v>45</v>
      </c>
      <c r="F1152" t="s">
        <v>46</v>
      </c>
      <c r="G1152" t="s">
        <v>47</v>
      </c>
      <c r="H1152">
        <v>15000</v>
      </c>
      <c r="I1152">
        <v>10</v>
      </c>
      <c r="J1152">
        <v>5</v>
      </c>
      <c r="K1152">
        <v>10</v>
      </c>
      <c r="L1152">
        <v>142500</v>
      </c>
      <c r="M1152">
        <v>132959.85999999999</v>
      </c>
      <c r="N1152">
        <f t="shared" si="18"/>
        <v>9540.140000000014</v>
      </c>
      <c r="O1152" t="s">
        <v>38</v>
      </c>
      <c r="P1152" t="s">
        <v>31</v>
      </c>
      <c r="Q1152" t="s">
        <v>39</v>
      </c>
    </row>
    <row r="1153" spans="1:17" x14ac:dyDescent="0.3">
      <c r="A1153" t="s">
        <v>1231</v>
      </c>
      <c r="B1153" s="1">
        <v>45300</v>
      </c>
      <c r="C1153" t="s">
        <v>18</v>
      </c>
      <c r="D1153" t="s">
        <v>41</v>
      </c>
      <c r="E1153" t="s">
        <v>57</v>
      </c>
      <c r="F1153" t="s">
        <v>46</v>
      </c>
      <c r="G1153" t="s">
        <v>58</v>
      </c>
      <c r="H1153">
        <v>18000</v>
      </c>
      <c r="I1153">
        <v>11</v>
      </c>
      <c r="J1153">
        <v>5</v>
      </c>
      <c r="K1153">
        <v>20</v>
      </c>
      <c r="L1153">
        <v>188100</v>
      </c>
      <c r="M1153">
        <v>180866.41</v>
      </c>
      <c r="N1153">
        <f t="shared" si="18"/>
        <v>7233.5899999999965</v>
      </c>
      <c r="O1153" t="s">
        <v>38</v>
      </c>
      <c r="P1153" t="s">
        <v>31</v>
      </c>
      <c r="Q1153" t="s">
        <v>39</v>
      </c>
    </row>
    <row r="1154" spans="1:17" x14ac:dyDescent="0.3">
      <c r="A1154" t="s">
        <v>1232</v>
      </c>
      <c r="B1154" s="1">
        <v>45385</v>
      </c>
      <c r="C1154" t="s">
        <v>34</v>
      </c>
      <c r="D1154" t="s">
        <v>27</v>
      </c>
      <c r="E1154" t="s">
        <v>104</v>
      </c>
      <c r="F1154" t="s">
        <v>29</v>
      </c>
      <c r="G1154" t="s">
        <v>30</v>
      </c>
      <c r="H1154">
        <v>1200</v>
      </c>
      <c r="I1154">
        <v>10</v>
      </c>
      <c r="J1154">
        <v>5</v>
      </c>
      <c r="K1154">
        <v>15</v>
      </c>
      <c r="L1154">
        <v>11400</v>
      </c>
      <c r="M1154">
        <v>11955.95</v>
      </c>
      <c r="N1154">
        <f t="shared" si="18"/>
        <v>-555.95000000000073</v>
      </c>
      <c r="O1154" t="s">
        <v>38</v>
      </c>
      <c r="P1154" t="s">
        <v>24</v>
      </c>
      <c r="Q1154" t="s">
        <v>39</v>
      </c>
    </row>
    <row r="1155" spans="1:17" x14ac:dyDescent="0.3">
      <c r="A1155" t="s">
        <v>1233</v>
      </c>
      <c r="B1155" s="1">
        <v>45356</v>
      </c>
      <c r="C1155" t="s">
        <v>53</v>
      </c>
      <c r="D1155" t="s">
        <v>70</v>
      </c>
      <c r="E1155" t="s">
        <v>67</v>
      </c>
      <c r="F1155" t="s">
        <v>29</v>
      </c>
      <c r="G1155" t="s">
        <v>68</v>
      </c>
      <c r="H1155">
        <v>1200</v>
      </c>
      <c r="I1155">
        <v>11</v>
      </c>
      <c r="J1155">
        <v>10</v>
      </c>
      <c r="K1155">
        <v>5</v>
      </c>
      <c r="L1155">
        <v>11880</v>
      </c>
      <c r="M1155">
        <v>11319.63</v>
      </c>
      <c r="N1155">
        <f t="shared" ref="N1155:N1201" si="19">L1155-M1155</f>
        <v>560.3700000000008</v>
      </c>
      <c r="O1155" t="s">
        <v>23</v>
      </c>
      <c r="P1155" t="s">
        <v>31</v>
      </c>
      <c r="Q1155" t="s">
        <v>32</v>
      </c>
    </row>
    <row r="1156" spans="1:17" x14ac:dyDescent="0.3">
      <c r="A1156" t="s">
        <v>1234</v>
      </c>
      <c r="B1156" s="1">
        <v>45459</v>
      </c>
      <c r="C1156" t="s">
        <v>53</v>
      </c>
      <c r="D1156" t="s">
        <v>19</v>
      </c>
      <c r="E1156" t="s">
        <v>155</v>
      </c>
      <c r="F1156" t="s">
        <v>21</v>
      </c>
      <c r="G1156" t="s">
        <v>72</v>
      </c>
      <c r="H1156">
        <v>35000</v>
      </c>
      <c r="I1156">
        <v>13</v>
      </c>
      <c r="J1156">
        <v>10</v>
      </c>
      <c r="K1156">
        <v>5</v>
      </c>
      <c r="L1156">
        <v>409500</v>
      </c>
      <c r="M1156">
        <v>395171.65</v>
      </c>
      <c r="N1156">
        <f t="shared" si="19"/>
        <v>14328.349999999977</v>
      </c>
      <c r="O1156" t="s">
        <v>23</v>
      </c>
      <c r="P1156" t="s">
        <v>31</v>
      </c>
      <c r="Q1156" t="s">
        <v>32</v>
      </c>
    </row>
    <row r="1157" spans="1:17" x14ac:dyDescent="0.3">
      <c r="A1157" t="s">
        <v>1235</v>
      </c>
      <c r="B1157" s="1">
        <v>45347</v>
      </c>
      <c r="C1157" t="s">
        <v>53</v>
      </c>
      <c r="D1157" t="s">
        <v>41</v>
      </c>
      <c r="E1157" t="s">
        <v>28</v>
      </c>
      <c r="F1157" t="s">
        <v>29</v>
      </c>
      <c r="G1157" t="s">
        <v>30</v>
      </c>
      <c r="H1157">
        <v>1800</v>
      </c>
      <c r="I1157">
        <v>3</v>
      </c>
      <c r="J1157">
        <v>10</v>
      </c>
      <c r="K1157">
        <v>10</v>
      </c>
      <c r="L1157">
        <v>4860</v>
      </c>
      <c r="M1157">
        <v>4861.51</v>
      </c>
      <c r="N1157">
        <f t="shared" si="19"/>
        <v>-1.5100000000002183</v>
      </c>
      <c r="O1157" t="s">
        <v>23</v>
      </c>
      <c r="P1157" t="s">
        <v>24</v>
      </c>
      <c r="Q1157" t="s">
        <v>25</v>
      </c>
    </row>
    <row r="1158" spans="1:17" x14ac:dyDescent="0.3">
      <c r="A1158" t="s">
        <v>1236</v>
      </c>
      <c r="B1158" s="1">
        <v>45385</v>
      </c>
      <c r="C1158" t="s">
        <v>34</v>
      </c>
      <c r="D1158" t="s">
        <v>27</v>
      </c>
      <c r="E1158" t="s">
        <v>107</v>
      </c>
      <c r="F1158" t="s">
        <v>108</v>
      </c>
      <c r="G1158" t="s">
        <v>109</v>
      </c>
      <c r="H1158">
        <v>18000</v>
      </c>
      <c r="I1158">
        <v>10</v>
      </c>
      <c r="J1158">
        <v>10</v>
      </c>
      <c r="K1158">
        <v>15</v>
      </c>
      <c r="L1158">
        <v>162000</v>
      </c>
      <c r="M1158">
        <v>158649.57</v>
      </c>
      <c r="N1158">
        <f t="shared" si="19"/>
        <v>3350.429999999993</v>
      </c>
      <c r="O1158" t="s">
        <v>38</v>
      </c>
      <c r="P1158" t="s">
        <v>31</v>
      </c>
      <c r="Q1158" t="s">
        <v>39</v>
      </c>
    </row>
    <row r="1159" spans="1:17" x14ac:dyDescent="0.3">
      <c r="A1159" t="s">
        <v>1237</v>
      </c>
      <c r="B1159" s="1">
        <v>45356</v>
      </c>
      <c r="C1159" t="s">
        <v>34</v>
      </c>
      <c r="D1159" t="s">
        <v>70</v>
      </c>
      <c r="E1159" t="s">
        <v>63</v>
      </c>
      <c r="F1159" t="s">
        <v>64</v>
      </c>
      <c r="G1159" t="s">
        <v>65</v>
      </c>
      <c r="H1159">
        <v>4000</v>
      </c>
      <c r="I1159">
        <v>4</v>
      </c>
      <c r="J1159">
        <v>15</v>
      </c>
      <c r="K1159">
        <v>0</v>
      </c>
      <c r="L1159">
        <v>13600</v>
      </c>
      <c r="M1159">
        <v>12453.28</v>
      </c>
      <c r="N1159">
        <f t="shared" si="19"/>
        <v>1146.7199999999993</v>
      </c>
      <c r="O1159" t="s">
        <v>23</v>
      </c>
      <c r="P1159" t="s">
        <v>31</v>
      </c>
      <c r="Q1159" t="s">
        <v>32</v>
      </c>
    </row>
    <row r="1160" spans="1:17" x14ac:dyDescent="0.3">
      <c r="A1160" t="s">
        <v>1238</v>
      </c>
      <c r="B1160" s="1">
        <v>45404</v>
      </c>
      <c r="C1160" t="s">
        <v>53</v>
      </c>
      <c r="D1160" t="s">
        <v>35</v>
      </c>
      <c r="E1160" t="s">
        <v>155</v>
      </c>
      <c r="F1160" t="s">
        <v>21</v>
      </c>
      <c r="G1160" t="s">
        <v>72</v>
      </c>
      <c r="H1160">
        <v>35000</v>
      </c>
      <c r="I1160">
        <v>3</v>
      </c>
      <c r="J1160">
        <v>15</v>
      </c>
      <c r="K1160">
        <v>0</v>
      </c>
      <c r="L1160">
        <v>89250</v>
      </c>
      <c r="M1160">
        <v>78044.81</v>
      </c>
      <c r="N1160">
        <f t="shared" si="19"/>
        <v>11205.190000000002</v>
      </c>
      <c r="O1160" t="s">
        <v>23</v>
      </c>
      <c r="P1160" t="s">
        <v>31</v>
      </c>
      <c r="Q1160" t="s">
        <v>32</v>
      </c>
    </row>
    <row r="1161" spans="1:17" x14ac:dyDescent="0.3">
      <c r="A1161" t="s">
        <v>1239</v>
      </c>
      <c r="B1161" s="1">
        <v>45304</v>
      </c>
      <c r="C1161" t="s">
        <v>18</v>
      </c>
      <c r="D1161" t="s">
        <v>27</v>
      </c>
      <c r="E1161" t="s">
        <v>81</v>
      </c>
      <c r="F1161" t="s">
        <v>21</v>
      </c>
      <c r="G1161" t="s">
        <v>82</v>
      </c>
      <c r="H1161">
        <v>8000</v>
      </c>
      <c r="I1161">
        <v>6</v>
      </c>
      <c r="J1161">
        <v>10</v>
      </c>
      <c r="K1161">
        <v>0</v>
      </c>
      <c r="L1161">
        <v>43200</v>
      </c>
      <c r="M1161">
        <v>40963.06</v>
      </c>
      <c r="N1161">
        <f t="shared" si="19"/>
        <v>2236.9400000000023</v>
      </c>
      <c r="O1161" t="s">
        <v>23</v>
      </c>
      <c r="P1161" t="s">
        <v>31</v>
      </c>
      <c r="Q1161" t="s">
        <v>32</v>
      </c>
    </row>
    <row r="1162" spans="1:17" x14ac:dyDescent="0.3">
      <c r="A1162" t="s">
        <v>1240</v>
      </c>
      <c r="B1162" s="1">
        <v>45335</v>
      </c>
      <c r="C1162" t="s">
        <v>53</v>
      </c>
      <c r="D1162" t="s">
        <v>41</v>
      </c>
      <c r="E1162" t="s">
        <v>57</v>
      </c>
      <c r="F1162" t="s">
        <v>46</v>
      </c>
      <c r="G1162" t="s">
        <v>58</v>
      </c>
      <c r="H1162">
        <v>18000</v>
      </c>
      <c r="I1162">
        <v>11</v>
      </c>
      <c r="J1162">
        <v>5</v>
      </c>
      <c r="K1162">
        <v>20</v>
      </c>
      <c r="L1162">
        <v>188100</v>
      </c>
      <c r="M1162">
        <v>179774.4</v>
      </c>
      <c r="N1162">
        <f t="shared" si="19"/>
        <v>8325.6000000000058</v>
      </c>
      <c r="O1162" t="s">
        <v>38</v>
      </c>
      <c r="P1162" t="s">
        <v>31</v>
      </c>
      <c r="Q1162" t="s">
        <v>39</v>
      </c>
    </row>
    <row r="1163" spans="1:17" x14ac:dyDescent="0.3">
      <c r="A1163" t="s">
        <v>1241</v>
      </c>
      <c r="B1163" s="1">
        <v>45386</v>
      </c>
      <c r="C1163" t="s">
        <v>49</v>
      </c>
      <c r="D1163" t="s">
        <v>19</v>
      </c>
      <c r="E1163" t="s">
        <v>57</v>
      </c>
      <c r="F1163" t="s">
        <v>46</v>
      </c>
      <c r="G1163" t="s">
        <v>58</v>
      </c>
      <c r="H1163">
        <v>18000</v>
      </c>
      <c r="I1163">
        <v>14</v>
      </c>
      <c r="J1163">
        <v>5</v>
      </c>
      <c r="K1163">
        <v>25</v>
      </c>
      <c r="L1163">
        <v>239400</v>
      </c>
      <c r="M1163">
        <v>239139.98</v>
      </c>
      <c r="N1163">
        <f t="shared" si="19"/>
        <v>260.01999999998952</v>
      </c>
      <c r="O1163" t="s">
        <v>38</v>
      </c>
      <c r="P1163" t="s">
        <v>31</v>
      </c>
      <c r="Q1163" t="s">
        <v>39</v>
      </c>
    </row>
    <row r="1164" spans="1:17" x14ac:dyDescent="0.3">
      <c r="A1164" t="s">
        <v>1242</v>
      </c>
      <c r="B1164" s="1">
        <v>45387</v>
      </c>
      <c r="C1164" t="s">
        <v>53</v>
      </c>
      <c r="D1164" t="s">
        <v>19</v>
      </c>
      <c r="E1164" t="s">
        <v>54</v>
      </c>
      <c r="F1164" t="s">
        <v>46</v>
      </c>
      <c r="G1164" t="s">
        <v>55</v>
      </c>
      <c r="H1164">
        <v>4500</v>
      </c>
      <c r="I1164">
        <v>7</v>
      </c>
      <c r="J1164">
        <v>15</v>
      </c>
      <c r="K1164">
        <v>10</v>
      </c>
      <c r="L1164">
        <v>26775</v>
      </c>
      <c r="M1164">
        <v>22893.26</v>
      </c>
      <c r="N1164">
        <f t="shared" si="19"/>
        <v>3881.7400000000016</v>
      </c>
      <c r="O1164" t="s">
        <v>23</v>
      </c>
      <c r="P1164" t="s">
        <v>31</v>
      </c>
      <c r="Q1164" t="s">
        <v>32</v>
      </c>
    </row>
    <row r="1165" spans="1:17" x14ac:dyDescent="0.3">
      <c r="A1165" t="s">
        <v>1243</v>
      </c>
      <c r="B1165" s="1">
        <v>45408</v>
      </c>
      <c r="C1165" t="s">
        <v>18</v>
      </c>
      <c r="D1165" t="s">
        <v>19</v>
      </c>
      <c r="E1165" t="s">
        <v>67</v>
      </c>
      <c r="F1165" t="s">
        <v>29</v>
      </c>
      <c r="G1165" t="s">
        <v>68</v>
      </c>
      <c r="H1165">
        <v>1200</v>
      </c>
      <c r="I1165">
        <v>1</v>
      </c>
      <c r="J1165">
        <v>10</v>
      </c>
      <c r="K1165">
        <v>5</v>
      </c>
      <c r="L1165">
        <v>1080</v>
      </c>
      <c r="M1165">
        <v>1027.23</v>
      </c>
      <c r="N1165">
        <f t="shared" si="19"/>
        <v>52.769999999999982</v>
      </c>
      <c r="O1165" t="s">
        <v>23</v>
      </c>
      <c r="P1165" t="s">
        <v>31</v>
      </c>
      <c r="Q1165" t="s">
        <v>32</v>
      </c>
    </row>
    <row r="1166" spans="1:17" x14ac:dyDescent="0.3">
      <c r="A1166" t="s">
        <v>1244</v>
      </c>
      <c r="B1166" s="1">
        <v>45353</v>
      </c>
      <c r="C1166" t="s">
        <v>18</v>
      </c>
      <c r="D1166" t="s">
        <v>92</v>
      </c>
      <c r="E1166" t="s">
        <v>61</v>
      </c>
      <c r="F1166" t="s">
        <v>29</v>
      </c>
      <c r="G1166" t="s">
        <v>43</v>
      </c>
      <c r="H1166">
        <v>2800</v>
      </c>
      <c r="I1166">
        <v>14</v>
      </c>
      <c r="J1166">
        <v>10</v>
      </c>
      <c r="K1166">
        <v>0</v>
      </c>
      <c r="L1166">
        <v>35280</v>
      </c>
      <c r="M1166">
        <v>32264.7</v>
      </c>
      <c r="N1166">
        <f t="shared" si="19"/>
        <v>3015.2999999999993</v>
      </c>
      <c r="O1166" t="s">
        <v>23</v>
      </c>
      <c r="P1166" t="s">
        <v>31</v>
      </c>
      <c r="Q1166" t="s">
        <v>32</v>
      </c>
    </row>
    <row r="1167" spans="1:17" x14ac:dyDescent="0.3">
      <c r="A1167" t="s">
        <v>1245</v>
      </c>
      <c r="B1167" s="1">
        <v>45417</v>
      </c>
      <c r="C1167" t="s">
        <v>34</v>
      </c>
      <c r="D1167" t="s">
        <v>19</v>
      </c>
      <c r="E1167" t="s">
        <v>100</v>
      </c>
      <c r="F1167" t="s">
        <v>46</v>
      </c>
      <c r="G1167" t="s">
        <v>55</v>
      </c>
      <c r="H1167">
        <v>2500</v>
      </c>
      <c r="I1167">
        <v>14</v>
      </c>
      <c r="J1167">
        <v>15</v>
      </c>
      <c r="K1167">
        <v>20</v>
      </c>
      <c r="L1167">
        <v>29750</v>
      </c>
      <c r="M1167">
        <v>29960.17</v>
      </c>
      <c r="N1167">
        <f t="shared" si="19"/>
        <v>-210.16999999999825</v>
      </c>
      <c r="O1167" t="s">
        <v>38</v>
      </c>
      <c r="P1167" t="s">
        <v>24</v>
      </c>
      <c r="Q1167" t="s">
        <v>39</v>
      </c>
    </row>
    <row r="1168" spans="1:17" x14ac:dyDescent="0.3">
      <c r="A1168" t="s">
        <v>1246</v>
      </c>
      <c r="B1168" s="1">
        <v>45395</v>
      </c>
      <c r="C1168" t="s">
        <v>53</v>
      </c>
      <c r="D1168" t="s">
        <v>70</v>
      </c>
      <c r="E1168" t="s">
        <v>42</v>
      </c>
      <c r="F1168" t="s">
        <v>29</v>
      </c>
      <c r="G1168" t="s">
        <v>43</v>
      </c>
      <c r="H1168">
        <v>500</v>
      </c>
      <c r="I1168">
        <v>8</v>
      </c>
      <c r="J1168">
        <v>15</v>
      </c>
      <c r="K1168">
        <v>15</v>
      </c>
      <c r="L1168">
        <v>3400</v>
      </c>
      <c r="M1168">
        <v>3457.13</v>
      </c>
      <c r="N1168">
        <f t="shared" si="19"/>
        <v>-57.130000000000109</v>
      </c>
      <c r="O1168" t="s">
        <v>23</v>
      </c>
      <c r="P1168" t="s">
        <v>24</v>
      </c>
      <c r="Q1168" t="s">
        <v>25</v>
      </c>
    </row>
    <row r="1169" spans="1:17" x14ac:dyDescent="0.3">
      <c r="A1169" t="s">
        <v>1247</v>
      </c>
      <c r="B1169" s="1">
        <v>45410</v>
      </c>
      <c r="C1169" t="s">
        <v>53</v>
      </c>
      <c r="D1169" t="s">
        <v>27</v>
      </c>
      <c r="E1169" t="s">
        <v>63</v>
      </c>
      <c r="F1169" t="s">
        <v>64</v>
      </c>
      <c r="G1169" t="s">
        <v>65</v>
      </c>
      <c r="H1169">
        <v>4000</v>
      </c>
      <c r="I1169">
        <v>8</v>
      </c>
      <c r="J1169">
        <v>10</v>
      </c>
      <c r="K1169">
        <v>15</v>
      </c>
      <c r="L1169">
        <v>28800</v>
      </c>
      <c r="M1169">
        <v>29758.31</v>
      </c>
      <c r="N1169">
        <f t="shared" si="19"/>
        <v>-958.31000000000131</v>
      </c>
      <c r="O1169" t="s">
        <v>38</v>
      </c>
      <c r="P1169" t="s">
        <v>24</v>
      </c>
      <c r="Q1169" t="s">
        <v>39</v>
      </c>
    </row>
    <row r="1170" spans="1:17" x14ac:dyDescent="0.3">
      <c r="A1170" t="s">
        <v>1248</v>
      </c>
      <c r="B1170" s="1">
        <v>45355</v>
      </c>
      <c r="C1170" t="s">
        <v>34</v>
      </c>
      <c r="D1170" t="s">
        <v>35</v>
      </c>
      <c r="E1170" t="s">
        <v>104</v>
      </c>
      <c r="F1170" t="s">
        <v>29</v>
      </c>
      <c r="G1170" t="s">
        <v>30</v>
      </c>
      <c r="H1170">
        <v>1200</v>
      </c>
      <c r="I1170">
        <v>12</v>
      </c>
      <c r="J1170">
        <v>10</v>
      </c>
      <c r="K1170">
        <v>20</v>
      </c>
      <c r="L1170">
        <v>12960</v>
      </c>
      <c r="M1170">
        <v>13277.27</v>
      </c>
      <c r="N1170">
        <f t="shared" si="19"/>
        <v>-317.27000000000044</v>
      </c>
      <c r="O1170" t="s">
        <v>38</v>
      </c>
      <c r="P1170" t="s">
        <v>24</v>
      </c>
      <c r="Q1170" t="s">
        <v>39</v>
      </c>
    </row>
    <row r="1171" spans="1:17" x14ac:dyDescent="0.3">
      <c r="A1171" t="s">
        <v>1249</v>
      </c>
      <c r="B1171" s="1">
        <v>45451</v>
      </c>
      <c r="C1171" t="s">
        <v>18</v>
      </c>
      <c r="D1171" t="s">
        <v>35</v>
      </c>
      <c r="E1171" t="s">
        <v>67</v>
      </c>
      <c r="F1171" t="s">
        <v>29</v>
      </c>
      <c r="G1171" t="s">
        <v>68</v>
      </c>
      <c r="H1171">
        <v>1200</v>
      </c>
      <c r="I1171">
        <v>10</v>
      </c>
      <c r="J1171">
        <v>10</v>
      </c>
      <c r="K1171">
        <v>0</v>
      </c>
      <c r="L1171">
        <v>10800</v>
      </c>
      <c r="M1171">
        <v>9900.32</v>
      </c>
      <c r="N1171">
        <f t="shared" si="19"/>
        <v>899.68000000000029</v>
      </c>
      <c r="O1171" t="s">
        <v>23</v>
      </c>
      <c r="P1171" t="s">
        <v>31</v>
      </c>
      <c r="Q1171" t="s">
        <v>32</v>
      </c>
    </row>
    <row r="1172" spans="1:17" x14ac:dyDescent="0.3">
      <c r="A1172" t="s">
        <v>1250</v>
      </c>
      <c r="B1172" s="1">
        <v>45442</v>
      </c>
      <c r="C1172" t="s">
        <v>53</v>
      </c>
      <c r="D1172" t="s">
        <v>92</v>
      </c>
      <c r="E1172" t="s">
        <v>90</v>
      </c>
      <c r="F1172" t="s">
        <v>29</v>
      </c>
      <c r="G1172" t="s">
        <v>37</v>
      </c>
      <c r="H1172">
        <v>6500</v>
      </c>
      <c r="I1172">
        <v>15</v>
      </c>
      <c r="J1172">
        <v>5</v>
      </c>
      <c r="K1172">
        <v>10</v>
      </c>
      <c r="L1172">
        <v>92625</v>
      </c>
      <c r="M1172">
        <v>96889.75</v>
      </c>
      <c r="N1172">
        <f t="shared" si="19"/>
        <v>-4264.75</v>
      </c>
      <c r="O1172" t="s">
        <v>38</v>
      </c>
      <c r="P1172" t="s">
        <v>24</v>
      </c>
      <c r="Q1172" t="s">
        <v>39</v>
      </c>
    </row>
    <row r="1173" spans="1:17" x14ac:dyDescent="0.3">
      <c r="A1173" t="s">
        <v>1251</v>
      </c>
      <c r="B1173" s="1">
        <v>45329</v>
      </c>
      <c r="C1173" t="s">
        <v>18</v>
      </c>
      <c r="D1173" t="s">
        <v>19</v>
      </c>
      <c r="E1173" t="s">
        <v>45</v>
      </c>
      <c r="F1173" t="s">
        <v>46</v>
      </c>
      <c r="G1173" t="s">
        <v>47</v>
      </c>
      <c r="H1173">
        <v>15000</v>
      </c>
      <c r="I1173">
        <v>4</v>
      </c>
      <c r="J1173">
        <v>10</v>
      </c>
      <c r="K1173">
        <v>10</v>
      </c>
      <c r="L1173">
        <v>54000</v>
      </c>
      <c r="M1173">
        <v>53606.36</v>
      </c>
      <c r="N1173">
        <f t="shared" si="19"/>
        <v>393.63999999999942</v>
      </c>
      <c r="O1173" t="s">
        <v>23</v>
      </c>
      <c r="P1173" t="s">
        <v>31</v>
      </c>
      <c r="Q1173" t="s">
        <v>32</v>
      </c>
    </row>
    <row r="1174" spans="1:17" x14ac:dyDescent="0.3">
      <c r="A1174" t="s">
        <v>1252</v>
      </c>
      <c r="B1174" s="1">
        <v>45325</v>
      </c>
      <c r="C1174" t="s">
        <v>49</v>
      </c>
      <c r="D1174" t="s">
        <v>19</v>
      </c>
      <c r="E1174" t="s">
        <v>28</v>
      </c>
      <c r="F1174" t="s">
        <v>29</v>
      </c>
      <c r="G1174" t="s">
        <v>30</v>
      </c>
      <c r="H1174">
        <v>1800</v>
      </c>
      <c r="I1174">
        <v>15</v>
      </c>
      <c r="J1174">
        <v>10</v>
      </c>
      <c r="K1174">
        <v>5</v>
      </c>
      <c r="L1174">
        <v>24300</v>
      </c>
      <c r="M1174">
        <v>21348.21</v>
      </c>
      <c r="N1174">
        <f t="shared" si="19"/>
        <v>2951.7900000000009</v>
      </c>
      <c r="O1174" t="s">
        <v>23</v>
      </c>
      <c r="P1174" t="s">
        <v>31</v>
      </c>
      <c r="Q1174" t="s">
        <v>32</v>
      </c>
    </row>
    <row r="1175" spans="1:17" x14ac:dyDescent="0.3">
      <c r="A1175" t="s">
        <v>1253</v>
      </c>
      <c r="B1175" s="1">
        <v>45293</v>
      </c>
      <c r="C1175" t="s">
        <v>53</v>
      </c>
      <c r="D1175" t="s">
        <v>35</v>
      </c>
      <c r="E1175" t="s">
        <v>63</v>
      </c>
      <c r="F1175" t="s">
        <v>64</v>
      </c>
      <c r="G1175" t="s">
        <v>65</v>
      </c>
      <c r="H1175">
        <v>4000</v>
      </c>
      <c r="I1175">
        <v>12</v>
      </c>
      <c r="J1175">
        <v>10</v>
      </c>
      <c r="K1175">
        <v>20</v>
      </c>
      <c r="L1175">
        <v>43200</v>
      </c>
      <c r="M1175">
        <v>43288.22</v>
      </c>
      <c r="N1175">
        <f t="shared" si="19"/>
        <v>-88.220000000001164</v>
      </c>
      <c r="O1175" t="s">
        <v>38</v>
      </c>
      <c r="P1175" t="s">
        <v>24</v>
      </c>
      <c r="Q1175" t="s">
        <v>39</v>
      </c>
    </row>
    <row r="1176" spans="1:17" x14ac:dyDescent="0.3">
      <c r="A1176" t="s">
        <v>1254</v>
      </c>
      <c r="B1176" s="1">
        <v>45325</v>
      </c>
      <c r="C1176" t="s">
        <v>49</v>
      </c>
      <c r="D1176" t="s">
        <v>35</v>
      </c>
      <c r="E1176" t="s">
        <v>107</v>
      </c>
      <c r="F1176" t="s">
        <v>108</v>
      </c>
      <c r="G1176" t="s">
        <v>109</v>
      </c>
      <c r="H1176">
        <v>18000</v>
      </c>
      <c r="I1176">
        <v>7</v>
      </c>
      <c r="J1176">
        <v>10</v>
      </c>
      <c r="K1176">
        <v>25</v>
      </c>
      <c r="L1176">
        <v>113400</v>
      </c>
      <c r="M1176">
        <v>101840.58</v>
      </c>
      <c r="N1176">
        <f t="shared" si="19"/>
        <v>11559.419999999998</v>
      </c>
      <c r="O1176" t="s">
        <v>38</v>
      </c>
      <c r="P1176" t="s">
        <v>31</v>
      </c>
      <c r="Q1176" t="s">
        <v>39</v>
      </c>
    </row>
    <row r="1177" spans="1:17" x14ac:dyDescent="0.3">
      <c r="A1177" t="s">
        <v>1255</v>
      </c>
      <c r="B1177" s="1">
        <v>45341</v>
      </c>
      <c r="C1177" t="s">
        <v>49</v>
      </c>
      <c r="D1177" t="s">
        <v>19</v>
      </c>
      <c r="E1177" t="s">
        <v>50</v>
      </c>
      <c r="F1177" t="s">
        <v>21</v>
      </c>
      <c r="G1177" t="s">
        <v>51</v>
      </c>
      <c r="H1177">
        <v>4500</v>
      </c>
      <c r="I1177">
        <v>2</v>
      </c>
      <c r="J1177">
        <v>5</v>
      </c>
      <c r="K1177">
        <v>10</v>
      </c>
      <c r="L1177">
        <v>8550</v>
      </c>
      <c r="M1177">
        <v>8635.9699999999993</v>
      </c>
      <c r="N1177">
        <f t="shared" si="19"/>
        <v>-85.969999999999345</v>
      </c>
      <c r="O1177" t="s">
        <v>38</v>
      </c>
      <c r="P1177" t="s">
        <v>24</v>
      </c>
      <c r="Q1177" t="s">
        <v>39</v>
      </c>
    </row>
    <row r="1178" spans="1:17" x14ac:dyDescent="0.3">
      <c r="A1178" t="s">
        <v>1256</v>
      </c>
      <c r="B1178" s="1">
        <v>45390</v>
      </c>
      <c r="C1178" t="s">
        <v>49</v>
      </c>
      <c r="D1178" t="s">
        <v>92</v>
      </c>
      <c r="E1178" t="s">
        <v>67</v>
      </c>
      <c r="F1178" t="s">
        <v>29</v>
      </c>
      <c r="G1178" t="s">
        <v>68</v>
      </c>
      <c r="H1178">
        <v>1200</v>
      </c>
      <c r="I1178">
        <v>11</v>
      </c>
      <c r="J1178">
        <v>15</v>
      </c>
      <c r="K1178">
        <v>0</v>
      </c>
      <c r="L1178">
        <v>11220</v>
      </c>
      <c r="M1178">
        <v>11269.89</v>
      </c>
      <c r="N1178">
        <f t="shared" si="19"/>
        <v>-49.889999999999418</v>
      </c>
      <c r="O1178" t="s">
        <v>23</v>
      </c>
      <c r="P1178" t="s">
        <v>24</v>
      </c>
      <c r="Q1178" t="s">
        <v>25</v>
      </c>
    </row>
    <row r="1179" spans="1:17" x14ac:dyDescent="0.3">
      <c r="A1179" t="s">
        <v>1257</v>
      </c>
      <c r="B1179" s="1">
        <v>45297</v>
      </c>
      <c r="C1179" t="s">
        <v>49</v>
      </c>
      <c r="D1179" t="s">
        <v>27</v>
      </c>
      <c r="E1179" t="s">
        <v>81</v>
      </c>
      <c r="F1179" t="s">
        <v>21</v>
      </c>
      <c r="G1179" t="s">
        <v>82</v>
      </c>
      <c r="H1179">
        <v>8000</v>
      </c>
      <c r="I1179">
        <v>3</v>
      </c>
      <c r="J1179">
        <v>5</v>
      </c>
      <c r="K1179">
        <v>25</v>
      </c>
      <c r="L1179">
        <v>22800</v>
      </c>
      <c r="M1179">
        <v>21476.44</v>
      </c>
      <c r="N1179">
        <f t="shared" si="19"/>
        <v>1323.5600000000013</v>
      </c>
      <c r="O1179" t="s">
        <v>38</v>
      </c>
      <c r="P1179" t="s">
        <v>31</v>
      </c>
      <c r="Q1179" t="s">
        <v>39</v>
      </c>
    </row>
    <row r="1180" spans="1:17" x14ac:dyDescent="0.3">
      <c r="A1180" t="s">
        <v>1258</v>
      </c>
      <c r="B1180" s="1">
        <v>45417</v>
      </c>
      <c r="C1180" t="s">
        <v>34</v>
      </c>
      <c r="D1180" t="s">
        <v>92</v>
      </c>
      <c r="E1180" t="s">
        <v>90</v>
      </c>
      <c r="F1180" t="s">
        <v>29</v>
      </c>
      <c r="G1180" t="s">
        <v>37</v>
      </c>
      <c r="H1180">
        <v>6500</v>
      </c>
      <c r="I1180">
        <v>9</v>
      </c>
      <c r="J1180">
        <v>5</v>
      </c>
      <c r="K1180">
        <v>5</v>
      </c>
      <c r="L1180">
        <v>55575</v>
      </c>
      <c r="M1180">
        <v>53643.19</v>
      </c>
      <c r="N1180">
        <f t="shared" si="19"/>
        <v>1931.8099999999977</v>
      </c>
      <c r="O1180" t="s">
        <v>23</v>
      </c>
      <c r="P1180" t="s">
        <v>31</v>
      </c>
      <c r="Q1180" t="s">
        <v>32</v>
      </c>
    </row>
    <row r="1181" spans="1:17" x14ac:dyDescent="0.3">
      <c r="A1181" t="s">
        <v>1259</v>
      </c>
      <c r="B1181" s="1">
        <v>45460</v>
      </c>
      <c r="C1181" t="s">
        <v>49</v>
      </c>
      <c r="D1181" t="s">
        <v>41</v>
      </c>
      <c r="E1181" t="s">
        <v>42</v>
      </c>
      <c r="F1181" t="s">
        <v>29</v>
      </c>
      <c r="G1181" t="s">
        <v>43</v>
      </c>
      <c r="H1181">
        <v>500</v>
      </c>
      <c r="I1181">
        <v>7</v>
      </c>
      <c r="J1181">
        <v>10</v>
      </c>
      <c r="K1181">
        <v>5</v>
      </c>
      <c r="L1181">
        <v>3150</v>
      </c>
      <c r="M1181">
        <v>3140.33</v>
      </c>
      <c r="N1181">
        <f t="shared" si="19"/>
        <v>9.6700000000000728</v>
      </c>
      <c r="O1181" t="s">
        <v>23</v>
      </c>
      <c r="P1181" t="s">
        <v>31</v>
      </c>
      <c r="Q1181" t="s">
        <v>32</v>
      </c>
    </row>
    <row r="1182" spans="1:17" x14ac:dyDescent="0.3">
      <c r="A1182" t="s">
        <v>1260</v>
      </c>
      <c r="B1182" s="1">
        <v>45413</v>
      </c>
      <c r="C1182" t="s">
        <v>34</v>
      </c>
      <c r="D1182" t="s">
        <v>70</v>
      </c>
      <c r="E1182" t="s">
        <v>107</v>
      </c>
      <c r="F1182" t="s">
        <v>108</v>
      </c>
      <c r="G1182" t="s">
        <v>109</v>
      </c>
      <c r="H1182">
        <v>18000</v>
      </c>
      <c r="I1182">
        <v>6</v>
      </c>
      <c r="J1182">
        <v>15</v>
      </c>
      <c r="K1182">
        <v>15</v>
      </c>
      <c r="L1182">
        <v>91800</v>
      </c>
      <c r="M1182">
        <v>95490.07</v>
      </c>
      <c r="N1182">
        <f t="shared" si="19"/>
        <v>-3690.070000000007</v>
      </c>
      <c r="O1182" t="s">
        <v>23</v>
      </c>
      <c r="P1182" t="s">
        <v>24</v>
      </c>
      <c r="Q1182" t="s">
        <v>25</v>
      </c>
    </row>
    <row r="1183" spans="1:17" x14ac:dyDescent="0.3">
      <c r="A1183" t="s">
        <v>1261</v>
      </c>
      <c r="B1183" s="1">
        <v>45341</v>
      </c>
      <c r="C1183" t="s">
        <v>53</v>
      </c>
      <c r="D1183" t="s">
        <v>41</v>
      </c>
      <c r="E1183" t="s">
        <v>151</v>
      </c>
      <c r="F1183" t="s">
        <v>141</v>
      </c>
      <c r="G1183" t="s">
        <v>142</v>
      </c>
      <c r="H1183">
        <v>3500</v>
      </c>
      <c r="I1183">
        <v>12</v>
      </c>
      <c r="J1183">
        <v>10</v>
      </c>
      <c r="K1183">
        <v>5</v>
      </c>
      <c r="L1183">
        <v>37800</v>
      </c>
      <c r="M1183">
        <v>36757.69</v>
      </c>
      <c r="N1183">
        <f t="shared" si="19"/>
        <v>1042.3099999999977</v>
      </c>
      <c r="O1183" t="s">
        <v>23</v>
      </c>
      <c r="P1183" t="s">
        <v>31</v>
      </c>
      <c r="Q1183" t="s">
        <v>32</v>
      </c>
    </row>
    <row r="1184" spans="1:17" x14ac:dyDescent="0.3">
      <c r="A1184" t="s">
        <v>1262</v>
      </c>
      <c r="B1184" s="1">
        <v>45397</v>
      </c>
      <c r="C1184" t="s">
        <v>53</v>
      </c>
      <c r="D1184" t="s">
        <v>35</v>
      </c>
      <c r="E1184" t="s">
        <v>75</v>
      </c>
      <c r="F1184" t="s">
        <v>76</v>
      </c>
      <c r="G1184" t="s">
        <v>77</v>
      </c>
      <c r="H1184">
        <v>8000</v>
      </c>
      <c r="I1184">
        <v>10</v>
      </c>
      <c r="J1184">
        <v>10</v>
      </c>
      <c r="K1184">
        <v>25</v>
      </c>
      <c r="L1184">
        <v>72000</v>
      </c>
      <c r="M1184">
        <v>67602.960000000006</v>
      </c>
      <c r="N1184">
        <f t="shared" si="19"/>
        <v>4397.0399999999936</v>
      </c>
      <c r="O1184" t="s">
        <v>38</v>
      </c>
      <c r="P1184" t="s">
        <v>31</v>
      </c>
      <c r="Q1184" t="s">
        <v>39</v>
      </c>
    </row>
    <row r="1185" spans="1:17" x14ac:dyDescent="0.3">
      <c r="A1185" t="s">
        <v>1263</v>
      </c>
      <c r="B1185" s="1">
        <v>45432</v>
      </c>
      <c r="C1185" t="s">
        <v>53</v>
      </c>
      <c r="D1185" t="s">
        <v>92</v>
      </c>
      <c r="E1185" t="s">
        <v>71</v>
      </c>
      <c r="F1185" t="s">
        <v>21</v>
      </c>
      <c r="G1185" t="s">
        <v>72</v>
      </c>
      <c r="H1185">
        <v>60000</v>
      </c>
      <c r="I1185">
        <v>7</v>
      </c>
      <c r="J1185">
        <v>5</v>
      </c>
      <c r="K1185">
        <v>10</v>
      </c>
      <c r="L1185">
        <v>399000</v>
      </c>
      <c r="M1185">
        <v>409364.39</v>
      </c>
      <c r="N1185">
        <f t="shared" si="19"/>
        <v>-10364.390000000014</v>
      </c>
      <c r="O1185" t="s">
        <v>38</v>
      </c>
      <c r="P1185" t="s">
        <v>24</v>
      </c>
      <c r="Q1185" t="s">
        <v>39</v>
      </c>
    </row>
    <row r="1186" spans="1:17" x14ac:dyDescent="0.3">
      <c r="A1186" t="s">
        <v>1264</v>
      </c>
      <c r="B1186" s="1">
        <v>45453</v>
      </c>
      <c r="C1186" t="s">
        <v>34</v>
      </c>
      <c r="D1186" t="s">
        <v>19</v>
      </c>
      <c r="E1186" t="s">
        <v>71</v>
      </c>
      <c r="F1186" t="s">
        <v>21</v>
      </c>
      <c r="G1186" t="s">
        <v>72</v>
      </c>
      <c r="H1186">
        <v>60000</v>
      </c>
      <c r="I1186">
        <v>1</v>
      </c>
      <c r="J1186">
        <v>10</v>
      </c>
      <c r="K1186">
        <v>5</v>
      </c>
      <c r="L1186">
        <v>54000</v>
      </c>
      <c r="M1186">
        <v>54250.39</v>
      </c>
      <c r="N1186">
        <f t="shared" si="19"/>
        <v>-250.38999999999942</v>
      </c>
      <c r="O1186" t="s">
        <v>23</v>
      </c>
      <c r="P1186" t="s">
        <v>24</v>
      </c>
      <c r="Q1186" t="s">
        <v>25</v>
      </c>
    </row>
    <row r="1187" spans="1:17" x14ac:dyDescent="0.3">
      <c r="A1187" t="s">
        <v>1265</v>
      </c>
      <c r="B1187" s="1">
        <v>45348</v>
      </c>
      <c r="C1187" t="s">
        <v>49</v>
      </c>
      <c r="D1187" t="s">
        <v>70</v>
      </c>
      <c r="E1187" t="s">
        <v>28</v>
      </c>
      <c r="F1187" t="s">
        <v>29</v>
      </c>
      <c r="G1187" t="s">
        <v>30</v>
      </c>
      <c r="H1187">
        <v>1800</v>
      </c>
      <c r="I1187">
        <v>5</v>
      </c>
      <c r="J1187">
        <v>15</v>
      </c>
      <c r="K1187">
        <v>25</v>
      </c>
      <c r="L1187">
        <v>7650</v>
      </c>
      <c r="M1187">
        <v>7285.86</v>
      </c>
      <c r="N1187">
        <f t="shared" si="19"/>
        <v>364.14000000000033</v>
      </c>
      <c r="O1187" t="s">
        <v>38</v>
      </c>
      <c r="P1187" t="s">
        <v>31</v>
      </c>
      <c r="Q1187" t="s">
        <v>39</v>
      </c>
    </row>
    <row r="1188" spans="1:17" x14ac:dyDescent="0.3">
      <c r="A1188" t="s">
        <v>1266</v>
      </c>
      <c r="B1188" s="1">
        <v>45310</v>
      </c>
      <c r="C1188" t="s">
        <v>53</v>
      </c>
      <c r="D1188" t="s">
        <v>27</v>
      </c>
      <c r="E1188" t="s">
        <v>81</v>
      </c>
      <c r="F1188" t="s">
        <v>21</v>
      </c>
      <c r="G1188" t="s">
        <v>82</v>
      </c>
      <c r="H1188">
        <v>8000</v>
      </c>
      <c r="I1188">
        <v>14</v>
      </c>
      <c r="J1188">
        <v>10</v>
      </c>
      <c r="K1188">
        <v>10</v>
      </c>
      <c r="L1188">
        <v>100800</v>
      </c>
      <c r="M1188">
        <v>96940.94</v>
      </c>
      <c r="N1188">
        <f t="shared" si="19"/>
        <v>3859.0599999999977</v>
      </c>
      <c r="O1188" t="s">
        <v>23</v>
      </c>
      <c r="P1188" t="s">
        <v>31</v>
      </c>
      <c r="Q1188" t="s">
        <v>32</v>
      </c>
    </row>
    <row r="1189" spans="1:17" x14ac:dyDescent="0.3">
      <c r="A1189" t="s">
        <v>1267</v>
      </c>
      <c r="B1189" s="1">
        <v>45433</v>
      </c>
      <c r="C1189" t="s">
        <v>18</v>
      </c>
      <c r="D1189" t="s">
        <v>19</v>
      </c>
      <c r="E1189" t="s">
        <v>20</v>
      </c>
      <c r="F1189" t="s">
        <v>21</v>
      </c>
      <c r="G1189" t="s">
        <v>22</v>
      </c>
      <c r="H1189">
        <v>6000</v>
      </c>
      <c r="I1189">
        <v>13</v>
      </c>
      <c r="J1189">
        <v>5</v>
      </c>
      <c r="K1189">
        <v>25</v>
      </c>
      <c r="L1189">
        <v>74100</v>
      </c>
      <c r="M1189">
        <v>76018.59</v>
      </c>
      <c r="N1189">
        <f t="shared" si="19"/>
        <v>-1918.5899999999965</v>
      </c>
      <c r="O1189" t="s">
        <v>38</v>
      </c>
      <c r="P1189" t="s">
        <v>24</v>
      </c>
      <c r="Q1189" t="s">
        <v>39</v>
      </c>
    </row>
    <row r="1190" spans="1:17" x14ac:dyDescent="0.3">
      <c r="A1190" t="s">
        <v>1268</v>
      </c>
      <c r="B1190" s="1">
        <v>45325</v>
      </c>
      <c r="C1190" t="s">
        <v>34</v>
      </c>
      <c r="D1190" t="s">
        <v>70</v>
      </c>
      <c r="E1190" t="s">
        <v>102</v>
      </c>
      <c r="F1190" t="s">
        <v>29</v>
      </c>
      <c r="G1190" t="s">
        <v>43</v>
      </c>
      <c r="H1190">
        <v>1500</v>
      </c>
      <c r="I1190">
        <v>4</v>
      </c>
      <c r="J1190">
        <v>10</v>
      </c>
      <c r="K1190">
        <v>15</v>
      </c>
      <c r="L1190">
        <v>5400</v>
      </c>
      <c r="M1190">
        <v>4892.54</v>
      </c>
      <c r="N1190">
        <f t="shared" si="19"/>
        <v>507.46000000000004</v>
      </c>
      <c r="O1190" t="s">
        <v>38</v>
      </c>
      <c r="P1190" t="s">
        <v>31</v>
      </c>
      <c r="Q1190" t="s">
        <v>39</v>
      </c>
    </row>
    <row r="1191" spans="1:17" x14ac:dyDescent="0.3">
      <c r="A1191" t="s">
        <v>1269</v>
      </c>
      <c r="B1191" s="1">
        <v>45413</v>
      </c>
      <c r="C1191" t="s">
        <v>34</v>
      </c>
      <c r="D1191" t="s">
        <v>41</v>
      </c>
      <c r="E1191" t="s">
        <v>42</v>
      </c>
      <c r="F1191" t="s">
        <v>29</v>
      </c>
      <c r="G1191" t="s">
        <v>43</v>
      </c>
      <c r="H1191">
        <v>500</v>
      </c>
      <c r="I1191">
        <v>14</v>
      </c>
      <c r="J1191">
        <v>5</v>
      </c>
      <c r="K1191">
        <v>10</v>
      </c>
      <c r="L1191">
        <v>6650</v>
      </c>
      <c r="M1191">
        <v>6142.2</v>
      </c>
      <c r="N1191">
        <f t="shared" si="19"/>
        <v>507.80000000000018</v>
      </c>
      <c r="O1191" t="s">
        <v>38</v>
      </c>
      <c r="P1191" t="s">
        <v>31</v>
      </c>
      <c r="Q1191" t="s">
        <v>39</v>
      </c>
    </row>
    <row r="1192" spans="1:17" x14ac:dyDescent="0.3">
      <c r="A1192" t="s">
        <v>1270</v>
      </c>
      <c r="B1192" s="1">
        <v>45398</v>
      </c>
      <c r="C1192" t="s">
        <v>34</v>
      </c>
      <c r="D1192" t="s">
        <v>41</v>
      </c>
      <c r="E1192" t="s">
        <v>71</v>
      </c>
      <c r="F1192" t="s">
        <v>21</v>
      </c>
      <c r="G1192" t="s">
        <v>72</v>
      </c>
      <c r="H1192">
        <v>60000</v>
      </c>
      <c r="I1192">
        <v>15</v>
      </c>
      <c r="J1192">
        <v>10</v>
      </c>
      <c r="K1192">
        <v>15</v>
      </c>
      <c r="L1192">
        <v>810000</v>
      </c>
      <c r="M1192">
        <v>756577.96</v>
      </c>
      <c r="N1192">
        <f t="shared" si="19"/>
        <v>53422.040000000037</v>
      </c>
      <c r="O1192" t="s">
        <v>38</v>
      </c>
      <c r="P1192" t="s">
        <v>31</v>
      </c>
      <c r="Q1192" t="s">
        <v>39</v>
      </c>
    </row>
    <row r="1193" spans="1:17" x14ac:dyDescent="0.3">
      <c r="A1193" t="s">
        <v>1271</v>
      </c>
      <c r="B1193" s="1">
        <v>45294</v>
      </c>
      <c r="C1193" t="s">
        <v>49</v>
      </c>
      <c r="D1193" t="s">
        <v>19</v>
      </c>
      <c r="E1193" t="s">
        <v>42</v>
      </c>
      <c r="F1193" t="s">
        <v>29</v>
      </c>
      <c r="G1193" t="s">
        <v>43</v>
      </c>
      <c r="H1193">
        <v>500</v>
      </c>
      <c r="I1193">
        <v>12</v>
      </c>
      <c r="J1193">
        <v>5</v>
      </c>
      <c r="K1193">
        <v>25</v>
      </c>
      <c r="L1193">
        <v>5700</v>
      </c>
      <c r="M1193">
        <v>5539.07</v>
      </c>
      <c r="N1193">
        <f t="shared" si="19"/>
        <v>160.93000000000029</v>
      </c>
      <c r="O1193" t="s">
        <v>38</v>
      </c>
      <c r="P1193" t="s">
        <v>31</v>
      </c>
      <c r="Q1193" t="s">
        <v>39</v>
      </c>
    </row>
    <row r="1194" spans="1:17" x14ac:dyDescent="0.3">
      <c r="A1194" t="s">
        <v>1272</v>
      </c>
      <c r="B1194" s="1">
        <v>45468</v>
      </c>
      <c r="C1194" t="s">
        <v>34</v>
      </c>
      <c r="D1194" t="s">
        <v>27</v>
      </c>
      <c r="E1194" t="s">
        <v>67</v>
      </c>
      <c r="F1194" t="s">
        <v>29</v>
      </c>
      <c r="G1194" t="s">
        <v>68</v>
      </c>
      <c r="H1194">
        <v>1200</v>
      </c>
      <c r="I1194">
        <v>7</v>
      </c>
      <c r="J1194">
        <v>5</v>
      </c>
      <c r="K1194">
        <v>20</v>
      </c>
      <c r="L1194">
        <v>7980</v>
      </c>
      <c r="M1194">
        <v>7795.67</v>
      </c>
      <c r="N1194">
        <f t="shared" si="19"/>
        <v>184.32999999999993</v>
      </c>
      <c r="O1194" t="s">
        <v>38</v>
      </c>
      <c r="P1194" t="s">
        <v>31</v>
      </c>
      <c r="Q1194" t="s">
        <v>39</v>
      </c>
    </row>
    <row r="1195" spans="1:17" x14ac:dyDescent="0.3">
      <c r="A1195" t="s">
        <v>1273</v>
      </c>
      <c r="B1195" s="1">
        <v>45451</v>
      </c>
      <c r="C1195" t="s">
        <v>18</v>
      </c>
      <c r="D1195" t="s">
        <v>27</v>
      </c>
      <c r="E1195" t="s">
        <v>102</v>
      </c>
      <c r="F1195" t="s">
        <v>29</v>
      </c>
      <c r="G1195" t="s">
        <v>43</v>
      </c>
      <c r="H1195">
        <v>1500</v>
      </c>
      <c r="I1195">
        <v>10</v>
      </c>
      <c r="J1195">
        <v>5</v>
      </c>
      <c r="K1195">
        <v>5</v>
      </c>
      <c r="L1195">
        <v>14250</v>
      </c>
      <c r="M1195">
        <v>12648.45</v>
      </c>
      <c r="N1195">
        <f t="shared" si="19"/>
        <v>1601.5499999999993</v>
      </c>
      <c r="O1195" t="s">
        <v>23</v>
      </c>
      <c r="P1195" t="s">
        <v>31</v>
      </c>
      <c r="Q1195" t="s">
        <v>32</v>
      </c>
    </row>
    <row r="1196" spans="1:17" x14ac:dyDescent="0.3">
      <c r="A1196" t="s">
        <v>1274</v>
      </c>
      <c r="B1196" s="1">
        <v>45365</v>
      </c>
      <c r="C1196" t="s">
        <v>18</v>
      </c>
      <c r="D1196" t="s">
        <v>27</v>
      </c>
      <c r="E1196" t="s">
        <v>107</v>
      </c>
      <c r="F1196" t="s">
        <v>108</v>
      </c>
      <c r="G1196" t="s">
        <v>109</v>
      </c>
      <c r="H1196">
        <v>18000</v>
      </c>
      <c r="I1196">
        <v>14</v>
      </c>
      <c r="J1196">
        <v>5</v>
      </c>
      <c r="K1196">
        <v>25</v>
      </c>
      <c r="L1196">
        <v>239400</v>
      </c>
      <c r="M1196">
        <v>209636.66</v>
      </c>
      <c r="N1196">
        <f t="shared" si="19"/>
        <v>29763.339999999997</v>
      </c>
      <c r="O1196" t="s">
        <v>38</v>
      </c>
      <c r="P1196" t="s">
        <v>31</v>
      </c>
      <c r="Q1196" t="s">
        <v>39</v>
      </c>
    </row>
    <row r="1197" spans="1:17" x14ac:dyDescent="0.3">
      <c r="A1197" t="s">
        <v>1275</v>
      </c>
      <c r="B1197" s="1">
        <v>45418</v>
      </c>
      <c r="C1197" t="s">
        <v>18</v>
      </c>
      <c r="D1197" t="s">
        <v>70</v>
      </c>
      <c r="E1197" t="s">
        <v>151</v>
      </c>
      <c r="F1197" t="s">
        <v>141</v>
      </c>
      <c r="G1197" t="s">
        <v>142</v>
      </c>
      <c r="H1197">
        <v>3500</v>
      </c>
      <c r="I1197">
        <v>12</v>
      </c>
      <c r="J1197">
        <v>15</v>
      </c>
      <c r="K1197">
        <v>10</v>
      </c>
      <c r="L1197">
        <v>35700</v>
      </c>
      <c r="M1197">
        <v>36986.160000000003</v>
      </c>
      <c r="N1197">
        <f t="shared" si="19"/>
        <v>-1286.1600000000035</v>
      </c>
      <c r="O1197" t="s">
        <v>23</v>
      </c>
      <c r="P1197" t="s">
        <v>24</v>
      </c>
      <c r="Q1197" t="s">
        <v>25</v>
      </c>
    </row>
    <row r="1198" spans="1:17" x14ac:dyDescent="0.3">
      <c r="A1198" t="s">
        <v>1276</v>
      </c>
      <c r="B1198" s="1">
        <v>45401</v>
      </c>
      <c r="C1198" t="s">
        <v>18</v>
      </c>
      <c r="D1198" t="s">
        <v>92</v>
      </c>
      <c r="E1198" t="s">
        <v>71</v>
      </c>
      <c r="F1198" t="s">
        <v>21</v>
      </c>
      <c r="G1198" t="s">
        <v>72</v>
      </c>
      <c r="H1198">
        <v>60000</v>
      </c>
      <c r="I1198">
        <v>14</v>
      </c>
      <c r="J1198">
        <v>15</v>
      </c>
      <c r="K1198">
        <v>25</v>
      </c>
      <c r="L1198">
        <v>714000</v>
      </c>
      <c r="M1198">
        <v>708058.15</v>
      </c>
      <c r="N1198">
        <f t="shared" si="19"/>
        <v>5941.8499999999767</v>
      </c>
      <c r="O1198" t="s">
        <v>38</v>
      </c>
      <c r="P1198" t="s">
        <v>31</v>
      </c>
      <c r="Q1198" t="s">
        <v>39</v>
      </c>
    </row>
    <row r="1199" spans="1:17" x14ac:dyDescent="0.3">
      <c r="A1199" t="s">
        <v>1277</v>
      </c>
      <c r="B1199" s="1">
        <v>45455</v>
      </c>
      <c r="C1199" t="s">
        <v>53</v>
      </c>
      <c r="D1199" t="s">
        <v>41</v>
      </c>
      <c r="E1199" t="s">
        <v>63</v>
      </c>
      <c r="F1199" t="s">
        <v>64</v>
      </c>
      <c r="G1199" t="s">
        <v>65</v>
      </c>
      <c r="H1199">
        <v>4000</v>
      </c>
      <c r="I1199">
        <v>11</v>
      </c>
      <c r="J1199">
        <v>10</v>
      </c>
      <c r="K1199">
        <v>0</v>
      </c>
      <c r="L1199">
        <v>39600</v>
      </c>
      <c r="M1199">
        <v>40173.019999999997</v>
      </c>
      <c r="N1199">
        <f t="shared" si="19"/>
        <v>-573.0199999999968</v>
      </c>
      <c r="O1199" t="s">
        <v>23</v>
      </c>
      <c r="P1199" t="s">
        <v>24</v>
      </c>
      <c r="Q1199" t="s">
        <v>25</v>
      </c>
    </row>
    <row r="1200" spans="1:17" x14ac:dyDescent="0.3">
      <c r="A1200" t="s">
        <v>1278</v>
      </c>
      <c r="B1200" s="1">
        <v>45364</v>
      </c>
      <c r="C1200" t="s">
        <v>18</v>
      </c>
      <c r="D1200" t="s">
        <v>35</v>
      </c>
      <c r="E1200" t="s">
        <v>61</v>
      </c>
      <c r="F1200" t="s">
        <v>29</v>
      </c>
      <c r="G1200" t="s">
        <v>43</v>
      </c>
      <c r="H1200">
        <v>2800</v>
      </c>
      <c r="I1200">
        <v>9</v>
      </c>
      <c r="J1200">
        <v>15</v>
      </c>
      <c r="K1200">
        <v>10</v>
      </c>
      <c r="L1200">
        <v>21420</v>
      </c>
      <c r="M1200">
        <v>19155.18</v>
      </c>
      <c r="N1200">
        <f t="shared" si="19"/>
        <v>2264.8199999999997</v>
      </c>
      <c r="O1200" t="s">
        <v>23</v>
      </c>
      <c r="P1200" t="s">
        <v>31</v>
      </c>
      <c r="Q1200" t="s">
        <v>32</v>
      </c>
    </row>
    <row r="1201" spans="1:17" x14ac:dyDescent="0.3">
      <c r="A1201" t="s">
        <v>1279</v>
      </c>
      <c r="B1201" s="1">
        <v>45331</v>
      </c>
      <c r="C1201" t="s">
        <v>34</v>
      </c>
      <c r="D1201" t="s">
        <v>92</v>
      </c>
      <c r="E1201" t="s">
        <v>140</v>
      </c>
      <c r="F1201" t="s">
        <v>141</v>
      </c>
      <c r="G1201" t="s">
        <v>142</v>
      </c>
      <c r="H1201">
        <v>12000</v>
      </c>
      <c r="I1201">
        <v>12</v>
      </c>
      <c r="J1201">
        <v>5</v>
      </c>
      <c r="K1201">
        <v>10</v>
      </c>
      <c r="L1201">
        <v>136800</v>
      </c>
      <c r="M1201">
        <v>118588.11</v>
      </c>
      <c r="N1201">
        <f t="shared" si="19"/>
        <v>18211.89</v>
      </c>
      <c r="O1201" t="s">
        <v>38</v>
      </c>
      <c r="P1201" t="s">
        <v>31</v>
      </c>
      <c r="Q1201" t="s">
        <v>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5C43A-9F29-4B45-BA88-BB9F1023DFE1}">
  <dimension ref="A3:B14"/>
  <sheetViews>
    <sheetView workbookViewId="0">
      <selection activeCell="B25" sqref="B25"/>
    </sheetView>
  </sheetViews>
  <sheetFormatPr defaultRowHeight="14.4" x14ac:dyDescent="0.3"/>
  <cols>
    <col min="1" max="1" width="25.44140625" bestFit="1" customWidth="1"/>
    <col min="2" max="2" width="24.77734375" bestFit="1" customWidth="1"/>
  </cols>
  <sheetData>
    <row r="3" spans="1:2" x14ac:dyDescent="0.3">
      <c r="A3" s="2" t="s">
        <v>1281</v>
      </c>
      <c r="B3" t="s">
        <v>1280</v>
      </c>
    </row>
    <row r="4" spans="1:2" x14ac:dyDescent="0.3">
      <c r="A4" s="3" t="s">
        <v>81</v>
      </c>
      <c r="B4">
        <v>131096.41999999998</v>
      </c>
    </row>
    <row r="5" spans="1:2" x14ac:dyDescent="0.3">
      <c r="A5" s="3" t="s">
        <v>167</v>
      </c>
      <c r="B5">
        <v>137425.19</v>
      </c>
    </row>
    <row r="6" spans="1:2" x14ac:dyDescent="0.3">
      <c r="A6" s="3" t="s">
        <v>75</v>
      </c>
      <c r="B6">
        <v>149064.24999999994</v>
      </c>
    </row>
    <row r="7" spans="1:2" x14ac:dyDescent="0.3">
      <c r="A7" s="3" t="s">
        <v>90</v>
      </c>
      <c r="B7">
        <v>157186.43</v>
      </c>
    </row>
    <row r="8" spans="1:2" x14ac:dyDescent="0.3">
      <c r="A8" s="3" t="s">
        <v>140</v>
      </c>
      <c r="B8">
        <v>230327.97000000009</v>
      </c>
    </row>
    <row r="9" spans="1:2" x14ac:dyDescent="0.3">
      <c r="A9" s="3" t="s">
        <v>45</v>
      </c>
      <c r="B9">
        <v>290375.19999999995</v>
      </c>
    </row>
    <row r="10" spans="1:2" x14ac:dyDescent="0.3">
      <c r="A10" s="3" t="s">
        <v>57</v>
      </c>
      <c r="B10">
        <v>298139.25999999989</v>
      </c>
    </row>
    <row r="11" spans="1:2" x14ac:dyDescent="0.3">
      <c r="A11" s="3" t="s">
        <v>107</v>
      </c>
      <c r="B11">
        <v>348008.17999999993</v>
      </c>
    </row>
    <row r="12" spans="1:2" x14ac:dyDescent="0.3">
      <c r="A12" s="3" t="s">
        <v>155</v>
      </c>
      <c r="B12">
        <v>831042.5</v>
      </c>
    </row>
    <row r="13" spans="1:2" x14ac:dyDescent="0.3">
      <c r="A13" s="3" t="s">
        <v>71</v>
      </c>
      <c r="B13">
        <v>985448.88999999978</v>
      </c>
    </row>
    <row r="14" spans="1:2" x14ac:dyDescent="0.3">
      <c r="A14" s="3" t="s">
        <v>1282</v>
      </c>
      <c r="B14">
        <v>3558114.2899999996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12705-6B83-47AF-A6FA-D3269AC822EE}">
  <dimension ref="A1:B6"/>
  <sheetViews>
    <sheetView workbookViewId="0">
      <selection activeCell="B21" sqref="B21"/>
    </sheetView>
  </sheetViews>
  <sheetFormatPr defaultRowHeight="14.4" x14ac:dyDescent="0.3"/>
  <cols>
    <col min="1" max="1" width="14" bestFit="1" customWidth="1"/>
    <col min="2" max="2" width="24.77734375" bestFit="1" customWidth="1"/>
    <col min="3" max="3" width="10" bestFit="1" customWidth="1"/>
    <col min="4" max="4" width="8.6640625" bestFit="1" customWidth="1"/>
    <col min="5" max="5" width="15.6640625" bestFit="1" customWidth="1"/>
    <col min="6" max="6" width="13.33203125" bestFit="1" customWidth="1"/>
    <col min="7" max="7" width="12" bestFit="1" customWidth="1"/>
    <col min="8" max="8" width="9.77734375" bestFit="1" customWidth="1"/>
    <col min="9" max="9" width="10.77734375" bestFit="1" customWidth="1"/>
  </cols>
  <sheetData>
    <row r="1" spans="1:2" x14ac:dyDescent="0.3">
      <c r="A1" s="2" t="s">
        <v>15</v>
      </c>
      <c r="B1" t="s">
        <v>31</v>
      </c>
    </row>
    <row r="3" spans="1:2" x14ac:dyDescent="0.3">
      <c r="A3" s="2" t="s">
        <v>1281</v>
      </c>
      <c r="B3" t="s">
        <v>1280</v>
      </c>
    </row>
    <row r="4" spans="1:2" x14ac:dyDescent="0.3">
      <c r="A4" s="3" t="s">
        <v>32</v>
      </c>
      <c r="B4">
        <v>2231362.3999999994</v>
      </c>
    </row>
    <row r="5" spans="1:2" x14ac:dyDescent="0.3">
      <c r="A5" s="3" t="s">
        <v>39</v>
      </c>
      <c r="B5">
        <v>2429508.6000000006</v>
      </c>
    </row>
    <row r="6" spans="1:2" x14ac:dyDescent="0.3">
      <c r="A6" s="3" t="s">
        <v>1282</v>
      </c>
      <c r="B6">
        <v>4660871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2A62-C1A8-47ED-BAE9-27145FACFDEC}">
  <dimension ref="A3:B6"/>
  <sheetViews>
    <sheetView workbookViewId="0">
      <selection activeCell="H4" sqref="H4"/>
    </sheetView>
  </sheetViews>
  <sheetFormatPr defaultRowHeight="14.4" x14ac:dyDescent="0.3"/>
  <cols>
    <col min="1" max="1" width="12.5546875" bestFit="1" customWidth="1"/>
    <col min="2" max="2" width="16.44140625" bestFit="1" customWidth="1"/>
  </cols>
  <sheetData>
    <row r="3" spans="1:2" x14ac:dyDescent="0.3">
      <c r="A3" s="2" t="s">
        <v>1281</v>
      </c>
      <c r="B3" t="s">
        <v>1293</v>
      </c>
    </row>
    <row r="4" spans="1:2" x14ac:dyDescent="0.3">
      <c r="A4" s="3" t="s">
        <v>31</v>
      </c>
      <c r="B4">
        <v>901</v>
      </c>
    </row>
    <row r="5" spans="1:2" x14ac:dyDescent="0.3">
      <c r="A5" s="3" t="s">
        <v>24</v>
      </c>
      <c r="B5">
        <v>299</v>
      </c>
    </row>
    <row r="6" spans="1:2" x14ac:dyDescent="0.3">
      <c r="A6" s="3" t="s">
        <v>1282</v>
      </c>
      <c r="B6">
        <v>1200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456-1F36-459E-8996-5EF9EA1E6CAE}">
  <dimension ref="A3:A4"/>
  <sheetViews>
    <sheetView workbookViewId="0">
      <selection activeCell="D9" sqref="D9"/>
    </sheetView>
  </sheetViews>
  <sheetFormatPr defaultRowHeight="14.4" x14ac:dyDescent="0.3"/>
  <cols>
    <col min="1" max="1" width="20.21875" bestFit="1" customWidth="1"/>
  </cols>
  <sheetData>
    <row r="3" spans="1:1" x14ac:dyDescent="0.3">
      <c r="A3" t="s">
        <v>1294</v>
      </c>
    </row>
    <row r="4" spans="1:1" x14ac:dyDescent="0.3">
      <c r="A4">
        <v>1200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B6ECF-9958-467B-9474-D09701C3BBC8}">
  <dimension ref="A3:B11"/>
  <sheetViews>
    <sheetView workbookViewId="0">
      <selection activeCell="B17" sqref="B17"/>
    </sheetView>
  </sheetViews>
  <sheetFormatPr defaultRowHeight="14.4" x14ac:dyDescent="0.3"/>
  <cols>
    <col min="1" max="1" width="15.109375" bestFit="1" customWidth="1"/>
    <col min="2" max="2" width="24.77734375" bestFit="1" customWidth="1"/>
  </cols>
  <sheetData>
    <row r="3" spans="1:2" x14ac:dyDescent="0.3">
      <c r="A3" s="2" t="s">
        <v>1281</v>
      </c>
      <c r="B3" t="s">
        <v>1280</v>
      </c>
    </row>
    <row r="4" spans="1:2" x14ac:dyDescent="0.3">
      <c r="A4" s="3" t="s">
        <v>21</v>
      </c>
      <c r="B4">
        <v>2332255.1099999985</v>
      </c>
    </row>
    <row r="5" spans="1:2" x14ac:dyDescent="0.3">
      <c r="A5" s="3" t="s">
        <v>46</v>
      </c>
      <c r="B5">
        <v>699642.5199999999</v>
      </c>
    </row>
    <row r="6" spans="1:2" x14ac:dyDescent="0.3">
      <c r="A6" s="3" t="s">
        <v>108</v>
      </c>
      <c r="B6">
        <v>348008.17999999993</v>
      </c>
    </row>
    <row r="7" spans="1:2" x14ac:dyDescent="0.3">
      <c r="A7" s="3" t="s">
        <v>29</v>
      </c>
      <c r="B7">
        <v>333601.44000000018</v>
      </c>
    </row>
    <row r="8" spans="1:2" x14ac:dyDescent="0.3">
      <c r="A8" s="3" t="s">
        <v>141</v>
      </c>
      <c r="B8">
        <v>279179.72000000003</v>
      </c>
    </row>
    <row r="9" spans="1:2" x14ac:dyDescent="0.3">
      <c r="A9" s="3" t="s">
        <v>76</v>
      </c>
      <c r="B9">
        <v>149064.24999999994</v>
      </c>
    </row>
    <row r="10" spans="1:2" x14ac:dyDescent="0.3">
      <c r="A10" s="3" t="s">
        <v>64</v>
      </c>
      <c r="B10">
        <v>60020.089999999989</v>
      </c>
    </row>
    <row r="11" spans="1:2" x14ac:dyDescent="0.3">
      <c r="A11" s="3" t="s">
        <v>1282</v>
      </c>
      <c r="B11">
        <v>4201771.3099999987</v>
      </c>
    </row>
  </sheetData>
  <conditionalFormatting pivot="1" sqref="B4:B10">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7CA49-50A2-4F32-95B2-DA63789B784E}">
  <dimension ref="A3:B10"/>
  <sheetViews>
    <sheetView workbookViewId="0">
      <selection activeCell="P24" sqref="P24"/>
    </sheetView>
  </sheetViews>
  <sheetFormatPr defaultRowHeight="14.4" x14ac:dyDescent="0.3"/>
  <cols>
    <col min="1" max="1" width="12.5546875" bestFit="1" customWidth="1"/>
    <col min="2" max="2" width="24.77734375" bestFit="1" customWidth="1"/>
  </cols>
  <sheetData>
    <row r="3" spans="1:2" x14ac:dyDescent="0.3">
      <c r="A3" s="2" t="s">
        <v>1281</v>
      </c>
      <c r="B3" t="s">
        <v>1280</v>
      </c>
    </row>
    <row r="4" spans="1:2" x14ac:dyDescent="0.3">
      <c r="A4" s="3" t="s">
        <v>1285</v>
      </c>
      <c r="B4">
        <v>569162.30000000016</v>
      </c>
    </row>
    <row r="5" spans="1:2" x14ac:dyDescent="0.3">
      <c r="A5" s="3" t="s">
        <v>1286</v>
      </c>
      <c r="B5">
        <v>667571.91999999993</v>
      </c>
    </row>
    <row r="6" spans="1:2" x14ac:dyDescent="0.3">
      <c r="A6" s="3" t="s">
        <v>1287</v>
      </c>
      <c r="B6">
        <v>595908.13999999978</v>
      </c>
    </row>
    <row r="7" spans="1:2" x14ac:dyDescent="0.3">
      <c r="A7" s="3" t="s">
        <v>1288</v>
      </c>
      <c r="B7">
        <v>864423.39000000025</v>
      </c>
    </row>
    <row r="8" spans="1:2" x14ac:dyDescent="0.3">
      <c r="A8" s="3" t="s">
        <v>1289</v>
      </c>
      <c r="B8">
        <v>619869.41</v>
      </c>
    </row>
    <row r="9" spans="1:2" x14ac:dyDescent="0.3">
      <c r="A9" s="3" t="s">
        <v>1290</v>
      </c>
      <c r="B9">
        <v>884836.15000000026</v>
      </c>
    </row>
    <row r="10" spans="1:2" x14ac:dyDescent="0.3">
      <c r="A10" s="3" t="s">
        <v>1282</v>
      </c>
      <c r="B10">
        <v>4201771.3100000005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41E11-AB94-4B79-A9A3-06A536BFBA04}">
  <dimension ref="A1:I33"/>
  <sheetViews>
    <sheetView workbookViewId="0">
      <selection activeCell="B15" sqref="B15"/>
    </sheetView>
  </sheetViews>
  <sheetFormatPr defaultRowHeight="14.4" x14ac:dyDescent="0.3"/>
  <cols>
    <col min="1" max="1" width="23.77734375" bestFit="1" customWidth="1"/>
    <col min="2" max="2" width="16.44140625" bestFit="1" customWidth="1"/>
    <col min="3" max="3" width="10" bestFit="1" customWidth="1"/>
    <col min="4" max="4" width="9" bestFit="1" customWidth="1"/>
    <col min="5" max="5" width="15.6640625" bestFit="1" customWidth="1"/>
    <col min="6" max="6" width="13.33203125" bestFit="1" customWidth="1"/>
    <col min="7" max="7" width="12" bestFit="1" customWidth="1"/>
    <col min="8" max="8" width="10" bestFit="1" customWidth="1"/>
    <col min="9" max="9" width="11" bestFit="1" customWidth="1"/>
  </cols>
  <sheetData>
    <row r="1" spans="1:8" x14ac:dyDescent="0.3">
      <c r="A1" s="2" t="s">
        <v>15</v>
      </c>
      <c r="B1" t="s">
        <v>31</v>
      </c>
      <c r="D1" s="2" t="s">
        <v>1281</v>
      </c>
      <c r="E1" t="s">
        <v>1280</v>
      </c>
      <c r="G1" s="2" t="s">
        <v>1281</v>
      </c>
      <c r="H1" t="s">
        <v>1280</v>
      </c>
    </row>
    <row r="2" spans="1:8" x14ac:dyDescent="0.3">
      <c r="D2" s="3" t="s">
        <v>29</v>
      </c>
      <c r="E2">
        <v>333601.43999999994</v>
      </c>
      <c r="G2" s="3" t="s">
        <v>57</v>
      </c>
      <c r="H2">
        <v>298139.25999999989</v>
      </c>
    </row>
    <row r="3" spans="1:8" x14ac:dyDescent="0.3">
      <c r="A3" t="s">
        <v>1292</v>
      </c>
      <c r="D3" s="4" t="s">
        <v>68</v>
      </c>
      <c r="E3">
        <v>29711.54</v>
      </c>
      <c r="G3" s="3" t="s">
        <v>107</v>
      </c>
      <c r="H3">
        <v>348008.17999999993</v>
      </c>
    </row>
    <row r="4" spans="1:8" x14ac:dyDescent="0.3">
      <c r="A4">
        <v>4660871.0000000047</v>
      </c>
      <c r="D4" s="4" t="s">
        <v>37</v>
      </c>
      <c r="E4">
        <v>175551.78999999995</v>
      </c>
      <c r="G4" s="3" t="s">
        <v>75</v>
      </c>
      <c r="H4">
        <v>149064.24999999994</v>
      </c>
    </row>
    <row r="5" spans="1:8" x14ac:dyDescent="0.3">
      <c r="D5" s="4" t="s">
        <v>30</v>
      </c>
      <c r="E5">
        <v>60091.520000000011</v>
      </c>
      <c r="G5" s="3" t="s">
        <v>90</v>
      </c>
      <c r="H5">
        <v>157186.43</v>
      </c>
    </row>
    <row r="6" spans="1:8" x14ac:dyDescent="0.3">
      <c r="A6" s="2" t="s">
        <v>1281</v>
      </c>
      <c r="B6" t="s">
        <v>1280</v>
      </c>
      <c r="D6" s="4" t="s">
        <v>43</v>
      </c>
      <c r="E6">
        <v>68246.59</v>
      </c>
      <c r="G6" s="3" t="s">
        <v>81</v>
      </c>
      <c r="H6">
        <v>131096.41999999998</v>
      </c>
    </row>
    <row r="7" spans="1:8" x14ac:dyDescent="0.3">
      <c r="A7" s="3" t="s">
        <v>1285</v>
      </c>
      <c r="B7">
        <v>569162.30000000016</v>
      </c>
      <c r="D7" s="3" t="s">
        <v>21</v>
      </c>
      <c r="E7">
        <v>2332255.1099999994</v>
      </c>
      <c r="G7" s="3" t="s">
        <v>155</v>
      </c>
      <c r="H7">
        <v>831042.5</v>
      </c>
    </row>
    <row r="8" spans="1:8" x14ac:dyDescent="0.3">
      <c r="A8" s="3" t="s">
        <v>1286</v>
      </c>
      <c r="B8">
        <v>667571.91999999993</v>
      </c>
      <c r="D8" s="4" t="s">
        <v>82</v>
      </c>
      <c r="E8">
        <v>308386.37999999989</v>
      </c>
      <c r="G8" s="3" t="s">
        <v>71</v>
      </c>
      <c r="H8">
        <v>985448.88999999978</v>
      </c>
    </row>
    <row r="9" spans="1:8" x14ac:dyDescent="0.3">
      <c r="A9" s="3" t="s">
        <v>1287</v>
      </c>
      <c r="B9">
        <v>595908.13999999978</v>
      </c>
      <c r="D9" s="4" t="s">
        <v>51</v>
      </c>
      <c r="E9">
        <v>87134.630000000019</v>
      </c>
      <c r="G9" s="3" t="s">
        <v>140</v>
      </c>
      <c r="H9">
        <v>230327.97000000009</v>
      </c>
    </row>
    <row r="10" spans="1:8" x14ac:dyDescent="0.3">
      <c r="A10" s="3" t="s">
        <v>1288</v>
      </c>
      <c r="B10">
        <v>864423.39000000025</v>
      </c>
      <c r="D10" s="4" t="s">
        <v>22</v>
      </c>
      <c r="E10">
        <v>120242.70999999999</v>
      </c>
      <c r="G10" s="3" t="s">
        <v>45</v>
      </c>
      <c r="H10">
        <v>290375.19999999995</v>
      </c>
    </row>
    <row r="11" spans="1:8" x14ac:dyDescent="0.3">
      <c r="A11" s="3" t="s">
        <v>1289</v>
      </c>
      <c r="B11">
        <v>619869.41</v>
      </c>
      <c r="D11" s="4" t="s">
        <v>72</v>
      </c>
      <c r="E11">
        <v>1816491.3899999997</v>
      </c>
      <c r="G11" s="3" t="s">
        <v>167</v>
      </c>
      <c r="H11">
        <v>137425.19</v>
      </c>
    </row>
    <row r="12" spans="1:8" x14ac:dyDescent="0.3">
      <c r="A12" s="3" t="s">
        <v>1290</v>
      </c>
      <c r="B12">
        <v>884836.15000000026</v>
      </c>
      <c r="D12" s="3" t="s">
        <v>108</v>
      </c>
      <c r="E12">
        <v>348008.17999999993</v>
      </c>
      <c r="G12" s="3" t="s">
        <v>1282</v>
      </c>
      <c r="H12">
        <v>3558114.2899999996</v>
      </c>
    </row>
    <row r="13" spans="1:8" x14ac:dyDescent="0.3">
      <c r="A13" s="3" t="s">
        <v>1282</v>
      </c>
      <c r="B13">
        <v>4201771.3100000005</v>
      </c>
      <c r="D13" s="4" t="s">
        <v>109</v>
      </c>
      <c r="E13">
        <v>348008.17999999993</v>
      </c>
    </row>
    <row r="14" spans="1:8" x14ac:dyDescent="0.3">
      <c r="D14" s="3" t="s">
        <v>46</v>
      </c>
      <c r="E14">
        <v>699642.5199999999</v>
      </c>
    </row>
    <row r="15" spans="1:8" x14ac:dyDescent="0.3">
      <c r="B15" s="6">
        <v>4201771</v>
      </c>
      <c r="D15" s="4" t="s">
        <v>58</v>
      </c>
      <c r="E15">
        <v>298139.25999999989</v>
      </c>
    </row>
    <row r="16" spans="1:8" x14ac:dyDescent="0.3">
      <c r="D16" s="4" t="s">
        <v>47</v>
      </c>
      <c r="E16">
        <v>290375.19999999995</v>
      </c>
    </row>
    <row r="17" spans="1:9" x14ac:dyDescent="0.3">
      <c r="D17" s="4" t="s">
        <v>55</v>
      </c>
      <c r="E17">
        <v>111128.06000000003</v>
      </c>
    </row>
    <row r="18" spans="1:9" x14ac:dyDescent="0.3">
      <c r="A18" t="s">
        <v>1291</v>
      </c>
      <c r="D18" s="3" t="s">
        <v>76</v>
      </c>
      <c r="E18">
        <v>149064.24999999994</v>
      </c>
    </row>
    <row r="19" spans="1:9" x14ac:dyDescent="0.3">
      <c r="A19">
        <v>80022737</v>
      </c>
      <c r="D19" s="4" t="s">
        <v>77</v>
      </c>
      <c r="E19">
        <v>149064.24999999994</v>
      </c>
    </row>
    <row r="20" spans="1:9" x14ac:dyDescent="0.3">
      <c r="B20" t="s">
        <v>1293</v>
      </c>
      <c r="D20" s="3" t="s">
        <v>64</v>
      </c>
      <c r="E20">
        <v>60020.089999999989</v>
      </c>
    </row>
    <row r="21" spans="1:9" x14ac:dyDescent="0.3">
      <c r="B21">
        <v>1200</v>
      </c>
      <c r="D21" s="4" t="s">
        <v>65</v>
      </c>
      <c r="E21">
        <v>60020.089999999989</v>
      </c>
    </row>
    <row r="22" spans="1:9" x14ac:dyDescent="0.3">
      <c r="A22" s="5">
        <f>GETPIVOTDATA("Revenue_Difference",$A$3)/GETPIVOTDATA("Expected_Revenue",$A$18)</f>
        <v>5.8244333732299168E-2</v>
      </c>
      <c r="D22" s="3" t="s">
        <v>141</v>
      </c>
      <c r="E22">
        <v>279179.72000000003</v>
      </c>
    </row>
    <row r="23" spans="1:9" x14ac:dyDescent="0.3">
      <c r="D23" s="4" t="s">
        <v>142</v>
      </c>
      <c r="E23">
        <v>279179.72000000003</v>
      </c>
    </row>
    <row r="24" spans="1:9" x14ac:dyDescent="0.3">
      <c r="D24" s="3" t="s">
        <v>1282</v>
      </c>
      <c r="E24">
        <v>4201771.3099999996</v>
      </c>
    </row>
    <row r="26" spans="1:9" x14ac:dyDescent="0.3">
      <c r="A26" s="2" t="s">
        <v>1284</v>
      </c>
      <c r="B26" s="2" t="s">
        <v>1283</v>
      </c>
    </row>
    <row r="27" spans="1:9" x14ac:dyDescent="0.3">
      <c r="A27" s="2" t="s">
        <v>1281</v>
      </c>
      <c r="B27" t="s">
        <v>29</v>
      </c>
      <c r="C27" t="s">
        <v>21</v>
      </c>
      <c r="D27" t="s">
        <v>108</v>
      </c>
      <c r="E27" t="s">
        <v>46</v>
      </c>
      <c r="F27" t="s">
        <v>76</v>
      </c>
      <c r="G27" t="s">
        <v>64</v>
      </c>
      <c r="H27" t="s">
        <v>141</v>
      </c>
      <c r="I27" t="s">
        <v>1282</v>
      </c>
    </row>
    <row r="28" spans="1:9" ht="15.6" x14ac:dyDescent="0.3">
      <c r="A28" s="3" t="s">
        <v>27</v>
      </c>
      <c r="B28">
        <v>53708.99000000002</v>
      </c>
      <c r="C28">
        <v>450826.12999999989</v>
      </c>
      <c r="D28">
        <v>55509.999999999993</v>
      </c>
      <c r="E28">
        <v>146070.31999999992</v>
      </c>
      <c r="F28">
        <v>15786.030000000002</v>
      </c>
      <c r="G28">
        <v>5856.309999999994</v>
      </c>
      <c r="H28">
        <v>45841.900000000016</v>
      </c>
      <c r="I28" s="7">
        <v>773599.67999999982</v>
      </c>
    </row>
    <row r="29" spans="1:9" ht="15.6" x14ac:dyDescent="0.3">
      <c r="A29" s="3" t="s">
        <v>70</v>
      </c>
      <c r="B29">
        <v>55825.919999999976</v>
      </c>
      <c r="C29">
        <v>288717.43</v>
      </c>
      <c r="D29">
        <v>93331.09</v>
      </c>
      <c r="E29">
        <v>62035.059999999983</v>
      </c>
      <c r="F29">
        <v>29086.739999999998</v>
      </c>
      <c r="G29">
        <v>8526.9800000000014</v>
      </c>
      <c r="H29">
        <v>50750.299999999996</v>
      </c>
      <c r="I29" s="7">
        <v>588273.52</v>
      </c>
    </row>
    <row r="30" spans="1:9" ht="15.6" x14ac:dyDescent="0.3">
      <c r="A30" s="3" t="s">
        <v>92</v>
      </c>
      <c r="B30">
        <v>60326.719999999987</v>
      </c>
      <c r="C30">
        <v>607205.42000000004</v>
      </c>
      <c r="D30">
        <v>96121.159999999974</v>
      </c>
      <c r="E30">
        <v>107421.52999999998</v>
      </c>
      <c r="F30">
        <v>3089.5899999999983</v>
      </c>
      <c r="G30">
        <v>6319.0400000000027</v>
      </c>
      <c r="H30">
        <v>27303.87</v>
      </c>
      <c r="I30" s="7">
        <v>907787.33000000007</v>
      </c>
    </row>
    <row r="31" spans="1:9" ht="15.6" x14ac:dyDescent="0.3">
      <c r="A31" s="3" t="s">
        <v>41</v>
      </c>
      <c r="B31">
        <v>39826.429999999986</v>
      </c>
      <c r="C31">
        <v>335135.77999999997</v>
      </c>
      <c r="D31">
        <v>32300.399999999994</v>
      </c>
      <c r="E31">
        <v>149833.56000000003</v>
      </c>
      <c r="F31">
        <v>35069.199999999997</v>
      </c>
      <c r="G31">
        <v>5804.37</v>
      </c>
      <c r="H31">
        <v>32844.19</v>
      </c>
      <c r="I31" s="7">
        <v>630813.92999999993</v>
      </c>
    </row>
    <row r="32" spans="1:9" ht="15.6" x14ac:dyDescent="0.3">
      <c r="A32" s="3" t="s">
        <v>19</v>
      </c>
      <c r="B32">
        <v>53832.510000000009</v>
      </c>
      <c r="C32">
        <v>287225.3600000001</v>
      </c>
      <c r="D32">
        <v>48464.009999999973</v>
      </c>
      <c r="E32">
        <v>150849.03000000003</v>
      </c>
      <c r="F32">
        <v>24527.260000000017</v>
      </c>
      <c r="G32">
        <v>14441.210000000003</v>
      </c>
      <c r="H32">
        <v>22112.33</v>
      </c>
      <c r="I32" s="7">
        <v>601451.71000000008</v>
      </c>
    </row>
    <row r="33" spans="1:9" ht="15.6" x14ac:dyDescent="0.3">
      <c r="A33" s="3" t="s">
        <v>35</v>
      </c>
      <c r="B33">
        <v>70080.87</v>
      </c>
      <c r="C33">
        <v>363144.99</v>
      </c>
      <c r="D33">
        <v>22281.520000000011</v>
      </c>
      <c r="E33">
        <v>83433.020000000019</v>
      </c>
      <c r="F33">
        <v>41505.429999999986</v>
      </c>
      <c r="G33">
        <v>19072.18</v>
      </c>
      <c r="H33">
        <v>100327.12999999999</v>
      </c>
      <c r="I33" s="7">
        <v>699845.14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A4FE-63B6-4F42-9737-2812E4C1FD2F}">
  <dimension ref="B2:D13"/>
  <sheetViews>
    <sheetView workbookViewId="0">
      <selection activeCell="D3" sqref="D3"/>
    </sheetView>
  </sheetViews>
  <sheetFormatPr defaultRowHeight="14.4" x14ac:dyDescent="0.3"/>
  <cols>
    <col min="2" max="2" width="10.5546875" bestFit="1" customWidth="1"/>
  </cols>
  <sheetData>
    <row r="2" spans="2:4" x14ac:dyDescent="0.3">
      <c r="D2" s="6">
        <f>KPI_Pivots!B15</f>
        <v>4201771</v>
      </c>
    </row>
    <row r="8" spans="2:4" x14ac:dyDescent="0.3">
      <c r="B8" s="5">
        <f>KPI_Pivots!A22</f>
        <v>5.8244333732299168E-2</v>
      </c>
    </row>
    <row r="13" spans="2:4" x14ac:dyDescent="0.3">
      <c r="D13">
        <f>KPI_Pivots!B21</f>
        <v>1200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0CBA-112D-4D95-A1DB-78AE01923DD4}">
  <dimension ref="A1"/>
  <sheetViews>
    <sheetView tabSelected="1" workbookViewId="0">
      <selection activeCell="B15" sqref="B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Dashboard</vt:lpstr>
      <vt:lpstr>Main Data</vt:lpstr>
      <vt:lpstr>Top 10 Products Causing Leakage</vt:lpstr>
      <vt:lpstr>Sheet8</vt:lpstr>
      <vt:lpstr>Sheet9</vt:lpstr>
      <vt:lpstr>Sheet1</vt:lpstr>
      <vt:lpstr>Leakage by Category</vt:lpstr>
      <vt:lpstr>Monthly Leakage Trend</vt:lpstr>
      <vt:lpstr>KPI_Pivots</vt:lpstr>
      <vt:lpstr>KPI_Cards</vt:lpstr>
      <vt:lpstr>INTERACTIVITY</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Pravin Murkute</cp:lastModifiedBy>
  <dcterms:created xsi:type="dcterms:W3CDTF">2025-12-29T05:41:50Z</dcterms:created>
  <dcterms:modified xsi:type="dcterms:W3CDTF">2026-01-01T13:50:05Z</dcterms:modified>
</cp:coreProperties>
</file>